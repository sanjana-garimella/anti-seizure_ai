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xr:revisionPtr revIDLastSave="0" documentId="13_ncr:1_{288A587E-542D-5B42-97A5-3ECBD0123A79}" xr6:coauthVersionLast="47" xr6:coauthVersionMax="47" xr10:uidLastSave="{00000000-0000-0000-0000-000000000000}"/>
  <bookViews>
    <workbookView xWindow="0" yWindow="660" windowWidth="34560" windowHeight="21680" tabRatio="500" xr2:uid="{00000000-000D-0000-FFFF-FFFF00000000}"/>
  </bookViews>
  <sheets>
    <sheet name="Instructions" sheetId="1" r:id="rId1"/>
    <sheet name="Cases" sheetId="2" r:id="rId2"/>
    <sheet name="Coverage" sheetId="3" r:id="rId3"/>
  </sheets>
  <definedNames>
    <definedName name="_xlnm._FilterDatabase" localSheetId="1" hidden="1">Cases!$A$1:$X$133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13" i="3" l="1"/>
</calcChain>
</file>

<file path=xl/sharedStrings.xml><?xml version="1.0" encoding="utf-8"?>
<sst xmlns="http://schemas.openxmlformats.org/spreadsheetml/2006/main" count="2288" uniqueCount="630">
  <si>
    <t>Aim 2 - Synthetic Validation Cases</t>
  </si>
  <si>
    <t>What this is</t>
  </si>
  <si>
    <t>Each row is a synthetic between-visit survey. The rule-based engine produced the</t>
  </si>
  <si>
    <t>recommendation and the draft AI summary/family message shown in the gray columns.</t>
  </si>
  <si>
    <t>How to review (columns are on the 'Cases' tab)</t>
  </si>
  <si>
    <t>1. Read the patient inputs (left, white columns).</t>
  </si>
  <si>
    <t>2. Read the Engine Recommendation + Reason + AI summaries (gray columns).</t>
  </si>
  <si>
    <t>3. In 'Agree?' pick Yes / No / Unsure (dropdown).</t>
  </si>
  <si>
    <t>4. If No, pick the recommendation you would give in 'Your recommendation' (dropdown).</t>
  </si>
  <si>
    <t>5. Add anything in 'Comments'.</t>
  </si>
  <si>
    <t>Notes</t>
  </si>
  <si>
    <t>· A blank 'Switch target' on a switch case is intentional - the engine defers the target</t>
  </si>
  <si>
    <t xml:space="preserve">  choice to you unless a specific switch was pre-approved at intake.</t>
  </si>
  <si>
    <t>· The 'Coverage' tab summarizes how many cases hit each recommendation type.</t>
  </si>
  <si>
    <t>· Decisions are rule-based only; no LLM/ML is in the decision path (per project rules).</t>
  </si>
  <si>
    <t>Case</t>
  </si>
  <si>
    <t>Group</t>
  </si>
  <si>
    <t>Scenario</t>
  </si>
  <si>
    <t>Age</t>
  </si>
  <si>
    <t>Wt(kg)</t>
  </si>
  <si>
    <t>Medication</t>
  </si>
  <si>
    <t>Dose</t>
  </si>
  <si>
    <t>Adherence</t>
  </si>
  <si>
    <t>Seizures</t>
  </si>
  <si>
    <t>Side effects</t>
  </si>
  <si>
    <t>Dose goal</t>
  </si>
  <si>
    <t>Overall</t>
  </si>
  <si>
    <t>Family pref</t>
  </si>
  <si>
    <t>Contingency</t>
  </si>
  <si>
    <t>Safety inputs</t>
  </si>
  <si>
    <t>ENGINE: Recommendation</t>
  </si>
  <si>
    <t>Switch target</t>
  </si>
  <si>
    <t>Reason (why)</t>
  </si>
  <si>
    <t>Follow-up (wks)</t>
  </si>
  <si>
    <t>AI clinical summary (draft)</t>
  </si>
  <si>
    <t>AI family message (draft)</t>
  </si>
  <si>
    <t>Agree?</t>
  </si>
  <si>
    <t>Your recommendation (if disagree)</t>
  </si>
  <si>
    <t>Comments</t>
  </si>
  <si>
    <t>A1</t>
  </si>
  <si>
    <t>A</t>
  </si>
  <si>
    <t>breakthrough sudden_jerks short/infrequent, titrating</t>
  </si>
  <si>
    <t>Levetiracetam</t>
  </si>
  <si>
    <t>250 mg x2/day</t>
  </si>
  <si>
    <t>Almost never misses</t>
  </si>
  <si>
    <t>Breakthrough | type: sudden_jerks | sudden_jerks under_1min 1/week</t>
  </si>
  <si>
    <t>None</t>
  </si>
  <si>
    <t>Still increasing</t>
  </si>
  <si>
    <t>-</t>
  </si>
  <si>
    <t>No strong preference</t>
  </si>
  <si>
    <t>Keep the current dose (no change)</t>
  </si>
  <si>
    <t>Short/infrequent breakthrough while titrating -&gt; continue plan.</t>
  </si>
  <si>
    <t>AI MEDICATION ASSISTANT - Between-Visit Summary (draft for review)
Patient A1 · 8 yr · 26 kg · Medication: Levetiracetam
What the family reported
  • Medication use: almost never misses a dose
  • Current dose: 250 mg x 2/day = 500 mg/day
  • Seizures: breakthrough seizures reported - number not given; type(s): quick jerks
  • Side effects: none reported
  • Dose status: still increasing
  • Family preference: no strong preference (defers to the team)
Suggested next step
  Keep the current dose (no change)
  Reason: Short/infrequent breakthrough while titrating -&gt; continue plan.
  Recommended follow-up: schedule another digital check-in in ~4 week(s).
  Why this is suggested:
    - Breakthrough seizures are short and/or infrequent while still titrating - continue the current plan (no change), keep increasing toward goal as scheduled.
AI-generated DRAFT - rules-based, no medical recommendation is final until the reviewing physician approves it.</t>
  </si>
  <si>
    <t>Thank you for the update on your child.
Based on your answers, your care team may suggest keeping the levetiracetam the same for now. Please continue as prescribed.
We'd like to check in again with a short online update in about 4 weeks.
Please do not change the medicine before hearing from the team. 
- [physician name]
[DRAFT - physician review required before sending]</t>
  </si>
  <si>
    <t>A2</t>
  </si>
  <si>
    <t>breakthrough focal short/infrequent, titrating</t>
  </si>
  <si>
    <t>Oxcarbazepine</t>
  </si>
  <si>
    <t>Breakthrough | type: focal | focal under_1min 1/week</t>
  </si>
  <si>
    <t>AI MEDICATION ASSISTANT - Between-Visit Summary (draft for review)
Patient A2 · 11 yr · 36 kg · Medication: Oxcarbazepine
What the family reported
  • Medication use: almost never misses a dose
  • Current dose: 250 mg x 2/day = 500 mg/day
  • Seizures: breakthrough seizures reported - number not given; type(s): one part of the body shaking or twitching
  • Side effects: none reported
  • Dose status: still increasing
  • Family preference: no strong preference (defers to the team)
Suggested next step
  Keep the current dose (no change)
  Reason: Short/infrequent breakthrough while titrating -&gt; continue plan.
  Do NOT switch to: carbamazepine (already tried, or a worse-tolerated option).
  Recommended follow-up: schedule another digital check-in in ~4 week(s).
  Why this is suggested:
    - Breakthrough seizures are short and/or infrequent while still titrating - continue the current plan (no change), keep increasing toward goal as scheduled.
  ⚠ oxcarbazepine: consider HLA-B*1502 screening before/around use (higher SJS/TEN risk in patients of Southeast/East Asian ancestry).
AI-generated DRAFT - rules-based, no medical recommendation is final until the reviewing physician approves it.</t>
  </si>
  <si>
    <t>Thank you for the update on your child.
Based on your answers, your care team may suggest keeping the oxcarbazepine the same for now. Please continue as prescribed.
We'd like to check in again with a short online update in about 4 weeks.
Please do not change the medicine before hearing from the team. 
- [physician name]
[DRAFT - physician review required before sending]</t>
  </si>
  <si>
    <t>A3</t>
  </si>
  <si>
    <t>breakthrough whole_body short/infrequent, titrating</t>
  </si>
  <si>
    <t>Lamotrigine</t>
  </si>
  <si>
    <t>Breakthrough | type: whole_body | whole_body under_1min 1/week</t>
  </si>
  <si>
    <t>AI MEDICATION ASSISTANT - Between-Visit Summary (draft for review)
Patient A3 · 14 yr · 50 kg · Medication: Lamotrigine
What the family reported
  • Medication use: almost never misses a dose
  • Current dose: 250 mg x 2/day = 500 mg/day
  • Seizures: breakthrough seizures reported - number not given; type(s): whole-body shaking or stiffening
  • Side effects: none reported
  • Dose status: still increasing
  • Family preference: no strong preference (defers to the team)
Suggested next step
  Keep the current dose (no change)
  Reason: Short/infrequent breakthrough while titrating -&gt; continue plan.
  Recommended follow-up: schedule another digital check-in in ~4 week(s).
  Why this is suggested:
    - Breakthrough seizures are short and/or infrequent while still titrating - continue the current plan (no change), keep increasing toward goal as scheduled.
AI-generated DRAFT - rules-based, no medical recommendation is final until the reviewing physician approves it.</t>
  </si>
  <si>
    <t>Thank you for the update on your child.
Based on your answers, your care team may suggest keeping the lamotrigine the same for now. Please continue as prescribed.
We'd like to check in again with a short online update in about 4 weeks.
Please do not change the medicine before hearing from the team. 
- [physician name]
[DRAFT - physician review required before sending]</t>
  </si>
  <si>
    <t>A4</t>
  </si>
  <si>
    <t>Valproic Acid</t>
  </si>
  <si>
    <t>AI MEDICATION ASSISTANT - Between-Visit Summary (draft for review)
Patient A4 · 6 yr · 20 kg · Medication: Valproic Acid
What the family reported
  • Medication use: almost never misses a dose
  • Current dose: 250 mg x 2/day = 500 mg/day
  • Seizures: breakthrough seizures reported - number not given; type(s): one part of the body shaking or twitching
  • Side effects: none reported
  • Dose status: still increasing
  • Family preference: no strong preference (defers to the team)
Suggested next step
  Keep the current dose (no change)
  Reason: Short/infrequent breakthrough while titrating -&gt; continue plan.
  Recommended follow-up: schedule another digital check-in in ~4 week(s).
  Why this is suggested:
    - Breakthrough seizures are short and/or infrequent while still titrating - continue the current plan (no change), keep increasing toward goal as scheduled.
  ⚠ valproic_acid: requires lab monitoring.
AI-generated DRAFT - rules-based, no medical recommendation is final until the reviewing physician approves it.</t>
  </si>
  <si>
    <t>Thank you for the update on your child.
Based on your answers, your care team may suggest keeping the valproic_acid the same for now. Please continue as prescribed.
We'd like to check in again with a short online update in about 4 weeks.
Please do not change the medicine before hearing from the team. 
- [physician name]
[DRAFT - physician review required before sending]</t>
  </si>
  <si>
    <t>A5</t>
  </si>
  <si>
    <t>Lacosamide</t>
  </si>
  <si>
    <t>AI MEDICATION ASSISTANT - Between-Visit Summary (draft for review)
Patient A5 · 15 yr · 55 kg · Medication: Lacosamide
What the family reported
  • Medication use: almost never misses a dose
  • Current dose: 250 mg x 2/day = 500 mg/day
  • Seizures: breakthrough seizures reported - number not given; type(s): whole-body shaking or stiffening
  • Side effects: none reported
  • Dose status: still increasing
  • Family preference: no strong preference (defers to the team)
Suggested next step
  Keep the current dose (no change)
  Reason: Short/infrequent breakthrough while titrating -&gt; continue plan.
  Recommended follow-up: schedule another digital check-in in ~4 week(s).
  Why this is suggested:
    - Breakthrough seizures are short and/or infrequent while still titrating - continue the current plan (no change), keep increasing toward goal as scheduled.
AI-generated DRAFT - rules-based, no medical recommendation is final until the reviewing physician approves it.</t>
  </si>
  <si>
    <t>Thank you for the update on your child.
Based on your answers, your care team may suggest keeping the lacosamide the same for now. Please continue as prescribed.
We'd like to check in again with a short online update in about 4 weeks.
Please do not change the medicine before hearing from the team. 
- [physician name]
[DRAFT - physician review required before sending]</t>
  </si>
  <si>
    <t>A6</t>
  </si>
  <si>
    <t>Clobazam</t>
  </si>
  <si>
    <t>AI MEDICATION ASSISTANT - Between-Visit Summary (draft for review)
Patient A6 · 9 yr · 29 kg · Medication: Clobazam
What the family reported
  • Medication use: almost never misses a dose
  • Current dose: 250 mg x 2/day = 500 mg/day
  • Seizures: breakthrough seizures reported - number not given; type(s): one part of the body shaking or twitching
  • Side effects: none reported
  • Dose status: still increasing
  • Family preference: no strong preference (defers to the team)
Suggested next step
  Keep the current dose (no change)
  Reason: Short/infrequent breakthrough while titrating -&gt; continue plan.
  Recommended follow-up: schedule another digital check-in in ~4 week(s).
  Why this is suggested:
    - Breakthrough seizures are short and/or infrequent while still titrating - continue the current plan (no change), keep increasing toward goal as scheduled.
AI-generated DRAFT - rules-based, no medical recommendation is final until the reviewing physician approves it.</t>
  </si>
  <si>
    <t>Thank you for the update on your child.
Based on your answers, your care team may suggest keeping the clobazam the same for now. Please continue as prescribed.
We'd like to check in again with a short online update in about 4 weeks.
Please do not change the medicine before hearing from the team. 
- [physician name]
[DRAFT - physician review required before sending]</t>
  </si>
  <si>
    <t>A7</t>
  </si>
  <si>
    <t>Topiramate</t>
  </si>
  <si>
    <t>AI MEDICATION ASSISTANT - Between-Visit Summary (draft for review)
Patient A7 · 12 yr · 40 kg · Medication: Topiramate
What the family reported
  • Medication use: almost never misses a dose
  • Current dose: 250 mg x 2/day = 500 mg/day
  • Seizures: breakthrough seizures reported - number not given; type(s): whole-body shaking or stiffening
  • Side effects: none reported
  • Dose status: still increasing
  • Family preference: no strong preference (defers to the team)
Suggested next step
  Keep the current dose (no change)
  Reason: Short/infrequent breakthrough while titrating -&gt; continue plan.
  Recommended follow-up: schedule another digital check-in in ~4 week(s).
  Why this is suggested:
    - Breakthrough seizures are short and/or infrequent while still titrating - continue the current plan (no change), keep increasing toward goal as scheduled.
AI-generated DRAFT - rules-based, no medical recommendation is final until the reviewing physician approves it.</t>
  </si>
  <si>
    <t>Thank you for the update on your child.
Based on your answers, your care team may suggest keeping the topiramate the same for now. Please continue as prescribed.
We'd like to check in again with a short online update in about 4 weeks.
Please do not change the medicine before hearing from the team. 
- [physician name]
[DRAFT - physician review required before sending]</t>
  </si>
  <si>
    <t>A8</t>
  </si>
  <si>
    <t>Brivaracetam</t>
  </si>
  <si>
    <t>AI MEDICATION ASSISTANT - Between-Visit Summary (draft for review)
Patient A8 · 7 yr · 23 kg · Medication: Brivaracetam
What the family reported
  • Medication use: almost never misses a dose
  • Current dose: 250 mg x 2/day = 500 mg/day
  • Seizures: breakthrough seizures reported - number not given; type(s): one part of the body shaking or twitching
  • Side effects: none reported
  • Dose status: still increasing
  • Family preference: no strong preference (defers to the team)
Suggested next step
  Keep the current dose (no change)
  Reason: Short/infrequent breakthrough while titrating -&gt; continue plan.
  Do NOT switch to: levetiracetam (already tried, or a worse-tolerated option).
  Recommended follow-up: schedule another digital check-in in ~4 week(s).
  Why this is suggested:
    - Breakthrough seizures are short and/or infrequent while still titrating - continue the current plan (no change), keep increasing toward goal as scheduled.
AI-generated DRAFT - rules-based, no medical recommendation is final until the reviewing physician approves it.</t>
  </si>
  <si>
    <t>Thank you for the update on your child.
Based on your answers, your care team may suggest keeping the brivaracetam the same for now. Please continue as prescribed.
We'd like to check in again with a short online update in about 4 weeks.
Please do not change the medicine before hearing from the team. 
- [physician name]
[DRAFT - physician review required before sending]</t>
  </si>
  <si>
    <t>AF1</t>
  </si>
  <si>
    <t>AF</t>
  </si>
  <si>
    <t>breakthrough focal, frequent + 1-3min, med helping</t>
  </si>
  <si>
    <t>Breakthrough | type: focal | focal 1_3min 5/week</t>
  </si>
  <si>
    <t>Better</t>
  </si>
  <si>
    <t>Increase the dose</t>
  </si>
  <si>
    <t>Frequent/long breakthrough seizures -&gt; increase faster.</t>
  </si>
  <si>
    <t>AI MEDICATION ASSISTANT - Between-Visit Summary (draft for review)
Patient AF1 · 10 yr · 32 kg · Medication: Levetiracetam
What the family reported
  • Medication use: almost never misses a dose
  • Current dose: 250 mg x 2/day = 500 mg/day
  • Seizures: breakthrough seizures reported - number not given; type(s): one part of the body shaking or twitching
  • Side effects: none reported
  • Dose status: still increasing
  • Overall, the family feels things are: better
  • Family preference: no strong preference (defers to the team)
Suggested next step
  Increase the dose - FASTER than the standard cadence
  Reason: Frequent/long breakthrough seizures -&gt; increase faster.
  Why this is suggested:
    - Frequent and/or long breakthrough seizures - increase the dose FASTER toward the goal (per the duration/frequency thresholds).
AI-generated DRAFT - rules-based, no medical recommendation is final until the reviewing physician approves it.</t>
  </si>
  <si>
    <t>Thank you for the update on your child.
Based on your answers, your care team may suggest increasing the levetiracetam dose. They will confirm the exact plan with you.
Please do not change the medicine before hearing from the team. 
- [physician name]
[DRAFT - physician review required before sending]</t>
  </si>
  <si>
    <t>AF2</t>
  </si>
  <si>
    <t>breakthrough whole_body, frequent + 1-3min, med helping</t>
  </si>
  <si>
    <t>Breakthrough | type: whole_body | whole_body 1_3min 5/week</t>
  </si>
  <si>
    <t>AI MEDICATION ASSISTANT - Between-Visit Summary (draft for review)
Patient AF2 · 13 yr · 45 kg · Medication: Oxcarbazepine
What the family reported
  • Medication use: almost never misses a dose
  • Current dose: 250 mg x 2/day = 500 mg/day
  • Seizures: breakthrough seizures reported - number not given; type(s): whole-body shaking or stiffening
  • Side effects: none reported
  • Dose status: still increasing
  • Overall, the family feels things are: better
  • Family preference: no strong preference (defers to the team)
Suggested next step
  Increase the dose - FASTER than the standard cadence
  Reason: Frequent/long breakthrough seizures -&gt; increase faster.
  Do NOT switch to: carbamazepine (already tried, or a worse-tolerated option).
  Why this is suggested:
    - Frequent and/or long breakthrough seizures - increase the dose FASTER toward the goal (per the duration/frequency thresholds).
  ⚠ oxcarbazepine: consider HLA-B*1502 screening before/around use (higher SJS/TEN risk in patients of Southeast/East Asian ancestry).
AI-generated DRAFT - rules-based, no medical recommendation is final until the reviewing physician approves it.</t>
  </si>
  <si>
    <t>Thank you for the update on your child.
Based on your answers, your care team may suggest increasing the oxcarbazepine dose. They will confirm the exact plan with you.
Please do not change the medicine before hearing from the team. 
- [physician name]
[DRAFT - physician review required before sending]</t>
  </si>
  <si>
    <t>AF3</t>
  </si>
  <si>
    <t>Consider adding another medicine</t>
  </si>
  <si>
    <t>At max dose, med helping, ongoing seizures -&gt; add a second med.</t>
  </si>
  <si>
    <t>AI MEDICATION ASSISTANT - Between-Visit Summary (draft for review)
Patient AF3 · 7 yr · 23 kg · Medication: Lamotrigine
What the family reported
  • Medication use: almost never misses a dose
  • Current dose: 250 mg x 2/day = 500 mg/day
  • Seizures: breakthrough seizures reported - number not given; type(s): one part of the body shaking or twitching
  • Side effects: none reported
  • Dose status: still increasing
  • Overall, the family feels things are: better
  • Family preference: no strong preference (defers to the team)
Suggested next step
  Consider adding a second medicine (combination therapy)
  Reason: At max dose, med helping, ongoing seizures -&gt; add a second med.
  Why this is suggested:
    - Frequent/long breakthrough seizures at the maximum dose, on a medicine that has been helping - ADD a second medicine (combination therapy).
AI-generated DRAFT - rules-based, no medical recommendation is final until the reviewing physician approves it.</t>
  </si>
  <si>
    <t>Thank you for the update on your child.
Based on your answers, your care team may discuss adding a second medicine alongside lamotrigine (some children do best on two medicines that work in different ways). They will confirm the plan with you.
Please do not change the medicine before hearing from the team. 
- [physician name]
[DRAFT - physician review required before sending]</t>
  </si>
  <si>
    <t>AF4</t>
  </si>
  <si>
    <t>AI MEDICATION ASSISTANT - Between-Visit Summary (draft for review)
Patient AF4 · 15 yr · 55 kg · Medication: Valproic Acid
What the family reported
  • Medication use: almost never misses a dose
  • Current dose: 250 mg x 2/day = 500 mg/day
  • Seizures: breakthrough seizures reported - number not given; type(s): whole-body shaking or stiffening
  • Side effects: none reported
  • Dose status: still increasing
  • Overall, the family feels things are: better
  • Family preference: no strong preference (defers to the team)
Suggested next step
  Increase the dose - FASTER than the standard cadence
  Reason: Frequent/long breakthrough seizures -&gt; increase faster.
  Why this is suggested:
    - Frequent and/or long breakthrough seizures - increase the dose FASTER toward the goal (per the duration/frequency thresholds).
  ⚠ valproic_acid: requires lab monitoring.
AI-generated DRAFT - rules-based, no medical recommendation is final until the reviewing physician approves it.</t>
  </si>
  <si>
    <t>Thank you for the update on your child.
Based on your answers, your care team may suggest increasing the valproic_acid dose. They will confirm the exact plan with you.
Please do not change the medicine before hearing from the team. 
- [physician name]
[DRAFT - physician review required before sending]</t>
  </si>
  <si>
    <t>AF5</t>
  </si>
  <si>
    <t>AI MEDICATION ASSISTANT - Between-Visit Summary (draft for review)
Patient AF5 · 9 yr · 29 kg · Medication: Lacosamide
What the family reported
  • Medication use: almost never misses a dose
  • Current dose: 250 mg x 2/day = 500 mg/day
  • Seizures: breakthrough seizures reported - number not given; type(s): one part of the body shaking or twitching
  • Side effects: none reported
  • Dose status: still increasing
  • Overall, the family feels things are: better
  • Family preference: no strong preference (defers to the team)
Suggested next step
  Consider adding a second medicine (combination therapy)
  Reason: At max dose, med helping, ongoing seizures -&gt; add a second med.
  Why this is suggested:
    - Frequent/long breakthrough seizures at the maximum dose, on a medicine that has been helping - ADD a second medicine (combination therapy).
AI-generated DRAFT - rules-based, no medical recommendation is final until the reviewing physician approves it.</t>
  </si>
  <si>
    <t>Thank you for the update on your child.
Based on your answers, your care team may discuss adding a second medicine alongside lacosamide (some children do best on two medicines that work in different ways). They will confirm the plan with you.
Please do not change the medicine before hearing from the team. 
- [physician name]
[DRAFT - physician review required before sending]</t>
  </si>
  <si>
    <t>AF6</t>
  </si>
  <si>
    <t>AI MEDICATION ASSISTANT - Between-Visit Summary (draft for review)
Patient AF6 · 12 yr · 40 kg · Medication: Clobazam
What the family reported
  • Medication use: almost never misses a dose
  • Current dose: 250 mg x 2/day = 500 mg/day
  • Seizures: breakthrough seizures reported - number not given; type(s): whole-body shaking or stiffening
  • Side effects: none reported
  • Dose status: still increasing
  • Overall, the family feels things are: better
  • Family preference: no strong preference (defers to the team)
Suggested next step
  Consider adding a second medicine (combination therapy)
  Reason: At max dose, med helping, ongoing seizures -&gt; add a second med.
  Why this is suggested:
    - Frequent/long breakthrough seizures at the maximum dose, on a medicine that has been helping - ADD a second medicine (combination therapy).
AI-generated DRAFT - rules-based, no medical recommendation is final until the reviewing physician approves it.</t>
  </si>
  <si>
    <t>Thank you for the update on your child.
Based on your answers, your care team may discuss adding a second medicine alongside clobazam (some children do best on two medicines that work in different ways). They will confirm the plan with you.
Please do not change the medicine before hearing from the team. 
- [physician name]
[DRAFT - physician review required before sending]</t>
  </si>
  <si>
    <t>AF7</t>
  </si>
  <si>
    <t>AI MEDICATION ASSISTANT - Between-Visit Summary (draft for review)
Patient AF7 · 6 yr · 20 kg · Medication: Topiramate
What the family reported
  • Medication use: almost never misses a dose
  • Current dose: 250 mg x 2/day = 500 mg/day
  • Seizures: breakthrough seizures reported - number not given; type(s): one part of the body shaking or twitching
  • Side effects: none reported
  • Dose status: still increasing
  • Overall, the family feels things are: better
  • Family preference: no strong preference (defers to the team)
Suggested next step
  Consider adding a second medicine (combination therapy)
  Reason: At max dose, med helping, ongoing seizures -&gt; add a second med.
  Why this is suggested:
    - Frequent/long breakthrough seizures at the maximum dose, on a medicine that has been helping - ADD a second medicine (combination therapy).
AI-generated DRAFT - rules-based, no medical recommendation is final until the reviewing physician approves it.</t>
  </si>
  <si>
    <t>Thank you for the update on your child.
Based on your answers, your care team may discuss adding a second medicine alongside topiramate (some children do best on two medicines that work in different ways). They will confirm the plan with you.
Please do not change the medicine before hearing from the team. 
- [physician name]
[DRAFT - physician review required before sending]</t>
  </si>
  <si>
    <t>AF8</t>
  </si>
  <si>
    <t>AI MEDICATION ASSISTANT - Between-Visit Summary (draft for review)
Patient AF8 · 14 yr · 50 kg · Medication: Brivaracetam
What the family reported
  • Medication use: almost never misses a dose
  • Current dose: 250 mg x 2/day = 500 mg/day
  • Seizures: breakthrough seizures reported - number not given; type(s): whole-body shaking or stiffening
  • Side effects: none reported
  • Dose status: still increasing
  • Overall, the family feels things are: better
  • Family preference: no strong preference (defers to the team)
Suggested next step
  Consider adding a second medicine (combination therapy)
  Reason: At max dose, med helping, ongoing seizures -&gt; add a second med.
  Do NOT switch to: levetiracetam (already tried, or a worse-tolerated option).
  Why this is suggested:
    - Frequent/long breakthrough seizures at the maximum dose, on a medicine that has been helping - ADD a second medicine (combination therapy).
AI-generated DRAFT - rules-based, no medical recommendation is final until the reviewing physician approves it.</t>
  </si>
  <si>
    <t>Thank you for the update on your child.
Based on your answers, your care team may discuss adding a second medicine alongside brivaracetam (some children do best on two medicines that work in different ways). They will confirm the plan with you.
Please do not change the medicine before hearing from the team. 
- [physician name]
[DRAFT - physician review required before sending]</t>
  </si>
  <si>
    <t>AN1</t>
  </si>
  <si>
    <t>AN</t>
  </si>
  <si>
    <t>breakthrough, no duration captured -&gt; need info</t>
  </si>
  <si>
    <t>Breakthrough | type: focal | 2/week</t>
  </si>
  <si>
    <t>At goal</t>
  </si>
  <si>
    <t>Need more information</t>
  </si>
  <si>
    <t>Need seizure duration to decide continue vs increase faster.</t>
  </si>
  <si>
    <t>AI MEDICATION ASSISTANT - Between-Visit Summary (draft for review)
Patient AN1 · 14 yr · 50 kg · Medication: Levetiracetam
What the family reported
  • Medication use: almost never misses a dose
  • Current dose: 250 mg x 2/day = 500 mg/day
  • Seizures: breakthrough seizures reported - 2 per week; type(s): one part of the body shaking or twitching
  • Side effects: none reported
  • Dose status: at goal (at the goal dose)
  • Family preference: no strong preference (defers to the team)
Suggested next step
  Needs clinician review - not enough information to suggest a change
  Reason: Need seizure duration to decide continue vs increase faster.
  Why this is suggested:
    - Breakthrough seizures but their DURATION was not captured - cannot decide continue-vs-increase-faster. Need seizure duration (how long each one lasts).
AI-generated DRAFT - rules-based, no medical recommendation is final until the reviewing physician approves it.</t>
  </si>
  <si>
    <t>Thank you for the update on your child.
Thank you - your care team will review your answers and follow up with any questions before making changes.
Please do not change the medicine before hearing from the team. 
- [physician name]
[DRAFT - physician review required before sending]</t>
  </si>
  <si>
    <t>AN2</t>
  </si>
  <si>
    <t>AI MEDICATION ASSISTANT - Between-Visit Summary (draft for review)
Patient AN2 · 12 yr · 40 kg · Medication: Oxcarbazepine
What the family reported
  • Medication use: almost never misses a dose
  • Current dose: 250 mg x 2/day = 500 mg/day
  • Seizures: breakthrough seizures reported - 2 per week; type(s): one part of the body shaking or twitching
  • Side effects: none reported
  • Dose status: still increasing
  • Family preference: no strong preference (defers to the team)
Suggested next step
  Needs clinician review - not enough information to suggest a change
  Reason: Need seizure duration to decide continue vs increase faster.
  Do NOT switch to: carbamazepine (already tried, or a worse-tolerated option).
  Why this is suggested:
    - Breakthrough seizures but their DURATION was not captured - cannot decide continue-vs-increase-faster. Need seizure duration (how long each one lasts).
  ⚠ oxcarbazepine: consider HLA-B*1502 screening before/around use (higher SJS/TEN risk in patients of Southeast/East Asian ancestry).
AI-generated DRAFT - rules-based, no medical recommendation is final until the reviewing physician approves it.</t>
  </si>
  <si>
    <t>AN3</t>
  </si>
  <si>
    <t>AI MEDICATION ASSISTANT - Between-Visit Summary (draft for review)
Patient AN3 · 6 yr · 20 kg · Medication: Lamotrigine
What the family reported
  • Medication use: almost never misses a dose
  • Current dose: 250 mg x 2/day = 500 mg/day
  • Seizures: breakthrough seizures reported - 2 per week; type(s): one part of the body shaking or twitching
  • Side effects: none reported
  • Dose status: at goal (at the goal dose)
  • Family preference: no strong preference (defers to the team)
Suggested next step
  Needs clinician review - not enough information to suggest a change
  Reason: Need seizure duration to decide continue vs increase faster.
  Why this is suggested:
    - Breakthrough seizures but their DURATION was not captured - cannot decide continue-vs-increase-faster. Need seizure duration (how long each one lasts).
AI-generated DRAFT - rules-based, no medical recommendation is final until the reviewing physician approves it.</t>
  </si>
  <si>
    <t>AN4</t>
  </si>
  <si>
    <t>AI MEDICATION ASSISTANT - Between-Visit Summary (draft for review)
Patient AN4 · 15 yr · 55 kg · Medication: Valproic Acid
What the family reported
  • Medication use: almost never misses a dose
  • Current dose: 250 mg x 2/day = 500 mg/day
  • Seizures: breakthrough seizures reported - 2 per week; type(s): one part of the body shaking or twitching
  • Side effects: none reported
  • Dose status: still increasing
  • Family preference: no strong preference (defers to the team)
Suggested next step
  Needs clinician review - not enough information to suggest a change
  Reason: Need seizure duration to decide continue vs increase faster.
  Why this is suggested:
    - Breakthrough seizures but their DURATION was not captured - cannot decide continue-vs-increase-faster. Need seizure duration (how long each one lasts).
  ⚠ valproic_acid: requires lab monitoring.
AI-generated DRAFT - rules-based, no medical recommendation is final until the reviewing physician approves it.</t>
  </si>
  <si>
    <t>AN5</t>
  </si>
  <si>
    <t>AI MEDICATION ASSISTANT - Between-Visit Summary (draft for review)
Patient AN5 · 6 yr · 20 kg · Medication: Lacosamide
What the family reported
  • Medication use: almost never misses a dose
  • Current dose: 250 mg x 2/day = 500 mg/day
  • Seizures: breakthrough seizures reported - 2 per week; type(s): one part of the body shaking or twitching
  • Side effects: none reported
  • Dose status: at goal (at the goal dose)
  • Family preference: no strong preference (defers to the team)
Suggested next step
  Needs clinician review - not enough information to suggest a change
  Reason: Need seizure duration to decide continue vs increase faster.
  Why this is suggested:
    - Breakthrough seizures but their DURATION was not captured - cannot decide continue-vs-increase-faster. Need seizure duration (how long each one lasts).
AI-generated DRAFT - rules-based, no medical recommendation is final until the reviewing physician approves it.</t>
  </si>
  <si>
    <t>AN6</t>
  </si>
  <si>
    <t>AI MEDICATION ASSISTANT - Between-Visit Summary (draft for review)
Patient AN6 · 11 yr · 36 kg · Medication: Clobazam
What the family reported
  • Medication use: almost never misses a dose
  • Current dose: 250 mg x 2/day = 500 mg/day
  • Seizures: breakthrough seizures reported - 2 per week; type(s): one part of the body shaking or twitching
  • Side effects: none reported
  • Dose status: still increasing
  • Family preference: no strong preference (defers to the team)
Suggested next step
  Needs clinician review - not enough information to suggest a change
  Reason: Need seizure duration to decide continue vs increase faster.
  Why this is suggested:
    - Breakthrough seizures but their DURATION was not captured - cannot decide continue-vs-increase-faster. Need seizure duration (how long each one lasts).
AI-generated DRAFT - rules-based, no medical recommendation is final until the reviewing physician approves it.</t>
  </si>
  <si>
    <t>B1</t>
  </si>
  <si>
    <t>B</t>
  </si>
  <si>
    <t>breakthrough + manageable sleepiness</t>
  </si>
  <si>
    <t>sleepiness (small/manageable)</t>
  </si>
  <si>
    <t>Increase the dose more slowly</t>
  </si>
  <si>
    <t>Titrating + medium-impact side effects -&gt; slower uptitration; reassess after 1-week adjustment.</t>
  </si>
  <si>
    <t>AI MEDICATION ASSISTANT - Between-Visit Summary (draft for review)
Patient B1 · 11 yr · 36 kg · Medication: Levetiracetam
What the family reported
  • Medication use: almost never misses a dose
  • Current dose: 250 mg x 2/day = 500 mg/day
  • Seizures: breakthrough seizures reported - number not given; type(s): one part of the body shaking or twitching
  • Side effects: sleepiness - overall manageable but unwanted
      impact on daily life: a small impact
  • Dose status: still increasing
  • Family preference: no strong preference (defers to the team)
Suggested next step
  Increase the dose more slowly - more SLOWLY than standard
  Reason: Titrating + medium-impact side effects -&gt; slower uptitration; reassess after 1-week adjustment.
  Question to put to the family (PI-supplied wording):
    “Side effects can be the most pronounced immediately after a dose increase and improve as the body adjusts to the medicine. If your child is showing a pattern of medium impact side effects early after a dose increase with improvement after 1 week, then we can consider continuing to slowly increase the medication dose. If your child is showing a pattern of big impact side effects early after a dose increase and continuing to have medium impact side effects after 1 week, then we might want to consider adding another medication rather than continuing dose increases. From your observations, do you think your child is showing an adjustment to the medication after being on a stable dose for 1 week, and side effects are manageable after this 1 week adjustment period? Yes - side effects are manageable / No - side effects are having too much of an impact on daily life and I would prefer avoiding more dose increases.”
  Recommended follow-up: schedule another digital check-in in ~1 week(s).
  Why this is suggested:
    - Breakthrough + manageable (medium-impact) side effects while still titrating - slow the uptitration and reassess after a 1-week adjustment period (side effects are often most pronounced right after an increase).
AI-generated DRAFT - rules-based, no medical recommendation is final until the reviewing physician approves it.</t>
  </si>
  <si>
    <t>Thank you for the update on your child.
Based on your answers, your care team may suggest continuing levetiracetam with a slower, gentler increase. They will confirm the plan with you.
Side effects can be the most pronounced immediately after a dose increase and improve as the body adjusts to the medicine. If your child is showing a pattern of medium impact side effects early after a dose increase with improvement after 1 week, then we can consider continuing to slowly increase the medication dose. If your child is showing a pattern of big impact side effects early after a dose increase and continuing to have medium impact side effects after 1 week, then we might want to consider adding another medication rather than continuing dose increases. From your observations, do you think your child is showing an adjustment to the medication after being on a stable dose for 1 week, and side effects are manageable after this 1 week adjustment period? Yes - side effects are manageable / No - side effects are having too much of an impact on daily life and I would prefer avoiding more dose increases.
We'd like to check in again with a short online update in about 1 weeks.
Please do not change the medicine before hearing from the team. 
- [physician name]
[DRAFT - physician review required before sending]</t>
  </si>
  <si>
    <t>B2</t>
  </si>
  <si>
    <t>breakthrough + manageable mood</t>
  </si>
  <si>
    <t>mood (small/manageable)</t>
  </si>
  <si>
    <t>AI MEDICATION ASSISTANT - Between-Visit Summary (draft for review)
Patient B2 · 11 yr · 36 kg · Medication: Oxcarbazepine
What the family reported
  • Medication use: almost never misses a dose
  • Current dose: 250 mg x 2/day = 500 mg/day
  • Seizures: breakthrough seizures reported - number not given; type(s): one part of the body shaking or twitching
  • Side effects: mood changes - overall manageable but unwanted
      impact on daily life: a small impact
  • Dose status: still increasing
  • Family preference: no strong preference (defers to the team)
Suggested next step
  Increase the dose more slowly - more SLOWLY than standard
  Reason: Titrating + medium-impact side effects -&gt; slower uptitration; reassess after 1-week adjustment.
  Do NOT switch to: carbamazepine (already tried, or a worse-tolerated option).
  Question to put to the family (PI-supplied wording):
    “Side effects can be the most pronounced immediately after a dose increase and improve as the body adjusts to the medicine. If your child is showing a pattern of medium impact side effects early after a dose increase with improvement after 1 week, then we can consider continuing to slowly increase the medication dose. If your child is showing a pattern of big impact side effects early after a dose increase and continuing to have medium impact side effects after 1 week, then we might want to consider adding another medication rather than continuing dose increases. From your observations, do you think your child is showing an adjustment to the medication after being on a stable dose for 1 week, and side effects are manageable after this 1 week adjustment period? Yes - side effects are manageable / No - side effects are having too much of an impact on daily life and I would prefer avoiding more dose increases.”
  Recommended follow-up: schedule another digital check-in in ~1 week(s).
  Why this is suggested:
    - Breakthrough + manageable (medium-impact) side effects while still titrating - slow the uptitration and reassess after a 1-week adjustment period (side effects are often most pronounced right after an increase).
  ⚠ oxcarbazepine: consider HLA-B*1502 screening before/around use (higher SJS/TEN risk in patients of Southeast/East Asian ancestry).
AI-generated DRAFT - rules-based, no medical recommendation is final until the reviewing physician approves it.</t>
  </si>
  <si>
    <t>Thank you for the update on your child.
Based on your answers, your care team may suggest continuing oxcarbazepine with a slower, gentler increase. They will confirm the plan with you.
Side effects can be the most pronounced immediately after a dose increase and improve as the body adjusts to the medicine. If your child is showing a pattern of medium impact side effects early after a dose increase with improvement after 1 week, then we can consider continuing to slowly increase the medication dose. If your child is showing a pattern of big impact side effects early after a dose increase and continuing to have medium impact side effects after 1 week, then we might want to consider adding another medication rather than continuing dose increases. From your observations, do you think your child is showing an adjustment to the medication after being on a stable dose for 1 week, and side effects are manageable after this 1 week adjustment period? Yes - side effects are manageable / No - side effects are having too much of an impact on daily life and I would prefer avoiding more dose increases.
We'd like to check in again with a short online update in about 1 weeks.
Please do not change the medicine before hearing from the team. 
- [physician name]
[DRAFT - physician review required before sending]</t>
  </si>
  <si>
    <t>B3</t>
  </si>
  <si>
    <t>breakthrough + manageable dizziness</t>
  </si>
  <si>
    <t>dizziness (small/manageable)</t>
  </si>
  <si>
    <t>AI MEDICATION ASSISTANT - Between-Visit Summary (draft for review)
Patient B3 · 13 yr · 45 kg · Medication: Lamotrigine
What the family reported
  • Medication use: almost never misses a dose
  • Current dose: 250 mg x 2/day = 500 mg/day
  • Seizures: breakthrough seizures reported - number not given; type(s): one part of the body shaking or twitching
  • Side effects: dizziness - overall manageable but unwanted
      impact on daily life: a small impact
  • Dose status: still increasing
  • Family preference: no strong preference (defers to the team)
Suggested next step
  Increase the dose more slowly - more SLOWLY than standard
  Reason: Titrating + medium-impact side effects -&gt; slower uptitration; reassess after 1-week adjustment.
  Question to put to the family (PI-supplied wording):
    “Side effects can be the most pronounced immediately after a dose increase and improve as the body adjusts to the medicine. If your child is showing a pattern of medium impact side effects early after a dose increase with improvement after 1 week, then we can consider continuing to slowly increase the medication dose. If your child is showing a pattern of big impact side effects early after a dose increase and continuing to have medium impact side effects after 1 week, then we might want to consider adding another medication rather than continuing dose increases. From your observations, do you think your child is showing an adjustment to the medication after being on a stable dose for 1 week, and side effects are manageable after this 1 week adjustment period? Yes - side effects are manageable / No - side effects are having too much of an impact on daily life and I would prefer avoiding more dose increases.”
  Recommended follow-up: schedule another digital check-in in ~1 week(s).
  Why this is suggested:
    - Breakthrough + manageable (medium-impact) side effects while still titrating - slow the uptitration and reassess after a 1-week adjustment period (side effects are often most pronounced right after an increase).
AI-generated DRAFT - rules-based, no medical recommendation is final until the reviewing physician approves it.</t>
  </si>
  <si>
    <t>Thank you for the update on your child.
Based on your answers, your care team may suggest continuing lamotrigine with a slower, gentler increase. They will confirm the plan with you.
Side effects can be the most pronounced immediately after a dose increase and improve as the body adjusts to the medicine. If your child is showing a pattern of medium impact side effects early after a dose increase with improvement after 1 week, then we can consider continuing to slowly increase the medication dose. If your child is showing a pattern of big impact side effects early after a dose increase and continuing to have medium impact side effects after 1 week, then we might want to consider adding another medication rather than continuing dose increases. From your observations, do you think your child is showing an adjustment to the medication after being on a stable dose for 1 week, and side effects are manageable after this 1 week adjustment period? Yes - side effects are manageable / No - side effects are having too much of an impact on daily life and I would prefer avoiding more dose increases.
We'd like to check in again with a short online update in about 1 weeks.
Please do not change the medicine before hearing from the team. 
- [physician name]
[DRAFT - physician review required before sending]</t>
  </si>
  <si>
    <t>B4</t>
  </si>
  <si>
    <t>breakthrough + manageable nausea</t>
  </si>
  <si>
    <t>nausea (small/manageable)</t>
  </si>
  <si>
    <t>AI MEDICATION ASSISTANT - Between-Visit Summary (draft for review)
Patient B4 · 9 yr · 29 kg · Medication: Valproic Acid
What the family reported
  • Medication use: almost never misses a dose
  • Current dose: 250 mg x 2/day = 500 mg/day
  • Seizures: breakthrough seizures reported - number not given; type(s): one part of the body shaking or twitching
  • Side effects: nausea - overall manageable but unwanted
      impact on daily life: a small impact
  • Dose status: still increasing
  • Family preference: no strong preference (defers to the team)
Suggested next step
  Increase the dose more slowly - more SLOWLY than standard
  Reason: Titrating + medium-impact side effects -&gt; slower uptitration; reassess after 1-week adjustment.
  Question to put to the family (PI-supplied wording):
    “Side effects can be the most pronounced immediately after a dose increase and improve as the body adjusts to the medicine. If your child is showing a pattern of medium impact side effects early after a dose increase with improvement after 1 week, then we can consider continuing to slowly increase the medication dose. If your child is showing a pattern of big impact side effects early after a dose increase and continuing to have medium impact side effects after 1 week, then we might want to consider adding another medication rather than continuing dose increases. From your observations, do you think your child is showing an adjustment to the medication after being on a stable dose for 1 week, and side effects are manageable after this 1 week adjustment period? Yes - side effects are manageable / No - side effects are having too much of an impact on daily life and I would prefer avoiding more dose increases.”
  Recommended follow-up: schedule another digital check-in in ~1 week(s).
  Why this is suggested:
    - Breakthrough + manageable (medium-impact) side effects while still titrating - slow the uptitration and reassess after a 1-week adjustment period (side effects are often most pronounced right after an increase).
  ⚠ valproic_acid: requires lab monitoring.
AI-generated DRAFT - rules-based, no medical recommendation is final until the reviewing physician approves it.</t>
  </si>
  <si>
    <t>Thank you for the update on your child.
Based on your answers, your care team may suggest continuing valproic_acid with a slower, gentler increase. They will confirm the plan with you.
Side effects can be the most pronounced immediately after a dose increase and improve as the body adjusts to the medicine. If your child is showing a pattern of medium impact side effects early after a dose increase with improvement after 1 week, then we can consider continuing to slowly increase the medication dose. If your child is showing a pattern of big impact side effects early after a dose increase and continuing to have medium impact side effects after 1 week, then we might want to consider adding another medication rather than continuing dose increases. From your observations, do you think your child is showing an adjustment to the medication after being on a stable dose for 1 week, and side effects are manageable after this 1 week adjustment period? Yes - side effects are manageable / No - side effects are having too much of an impact on daily life and I would prefer avoiding more dose increases.
We'd like to check in again with a short online update in about 1 weeks.
Please do not change the medicine before hearing from the team. 
- [physician name]
[DRAFT - physician review required before sending]</t>
  </si>
  <si>
    <t>B5</t>
  </si>
  <si>
    <t>breakthrough + manageable word_finding</t>
  </si>
  <si>
    <t>word_finding (small/manageable)</t>
  </si>
  <si>
    <t>AI MEDICATION ASSISTANT - Between-Visit Summary (draft for review)
Patient B5 · 13 yr · 45 kg · Medication: Lacosamide
What the family reported
  • Medication use: almost never misses a dose
  • Current dose: 250 mg x 2/day = 500 mg/day
  • Seizures: breakthrough seizures reported - number not given; type(s): one part of the body shaking or twitching
  • Side effects: word-finding trouble - overall manageable but unwanted
      impact on daily life: a small impact
  • Dose status: still increasing
  • Family preference: no strong preference (defers to the team)
Suggested next step
  Increase the dose more slowly - more SLOWLY than standard
  Reason: Titrating + medium-impact side effects -&gt; slower uptitration; reassess after 1-week adjustment.
  Question to put to the family (PI-supplied wording):
    “Side effects can be the most pronounced immediately after a dose increase and improve as the body adjusts to the medicine. If your child is showing a pattern of medium impact side effects early after a dose increase with improvement after 1 week, then we can consider continuing to slowly increase the medication dose. If your child is showing a pattern of big impact side effects early after a dose increase and continuing to have medium impact side effects after 1 week, then we might want to consider adding another medication rather than continuing dose increases. From your observations, do you think your child is showing an adjustment to the medication after being on a stable dose for 1 week, and side effects are manageable after this 1 week adjustment period? Yes - side effects are manageable / No - side effects are having too much of an impact on daily life and I would prefer avoiding more dose increases.”
  Recommended follow-up: schedule another digital check-in in ~1 week(s).
  Why this is suggested:
    - Breakthrough + manageable (medium-impact) side effects while still titrating - slow the uptitration and reassess after a 1-week adjustment period (side effects are often most pronounced right after an increase).
AI-generated DRAFT - rules-based, no medical recommendation is final until the reviewing physician approves it.</t>
  </si>
  <si>
    <t>Thank you for the update on your child.
Based on your answers, your care team may suggest continuing lacosamide with a slower, gentler increase. They will confirm the plan with you.
Side effects can be the most pronounced immediately after a dose increase and improve as the body adjusts to the medicine. If your child is showing a pattern of medium impact side effects early after a dose increase with improvement after 1 week, then we can consider continuing to slowly increase the medication dose. If your child is showing a pattern of big impact side effects early after a dose increase and continuing to have medium impact side effects after 1 week, then we might want to consider adding another medication rather than continuing dose increases. From your observations, do you think your child is showing an adjustment to the medication after being on a stable dose for 1 week, and side effects are manageable after this 1 week adjustment period? Yes - side effects are manageable / No - side effects are having too much of an impact on daily life and I would prefer avoiding more dose increases.
We'd like to check in again with a short online update in about 1 weeks.
Please do not change the medicine before hearing from the team. 
- [physician name]
[DRAFT - physician review required before sending]</t>
  </si>
  <si>
    <t>B6</t>
  </si>
  <si>
    <t>breakthrough + manageable irritability</t>
  </si>
  <si>
    <t>irritability (small/manageable)</t>
  </si>
  <si>
    <t>AI MEDICATION ASSISTANT - Between-Visit Summary (draft for review)
Patient B6 · 12 yr · 40 kg · Medication: Clobazam
What the family reported
  • Medication use: almost never misses a dose
  • Current dose: 250 mg x 2/day = 500 mg/day
  • Seizures: breakthrough seizures reported - number not given; type(s): one part of the body shaking or twitching
  • Side effects: irritability - overall manageable but unwanted
      impact on daily life: a small impact
  • Dose status: still increasing
  • Family preference: no strong preference (defers to the team)
Suggested next step
  Increase the dose more slowly - more SLOWLY than standard
  Reason: Titrating + medium-impact side effects -&gt; slower uptitration; reassess after 1-week adjustment.
  Question to put to the family (PI-supplied wording):
    “Side effects can be the most pronounced immediately after a dose increase and improve as the body adjusts to the medicine. If your child is showing a pattern of medium impact side effects early after a dose increase with improvement after 1 week, then we can consider continuing to slowly increase the medication dose. If your child is showing a pattern of big impact side effects early after a dose increase and continuing to have medium impact side effects after 1 week, then we might want to consider adding another medication rather than continuing dose increases. From your observations, do you think your child is showing an adjustment to the medication after being on a stable dose for 1 week, and side effects are manageable after this 1 week adjustment period? Yes - side effects are manageable / No - side effects are having too much of an impact on daily life and I would prefer avoiding more dose increases.”
  Recommended follow-up: schedule another digital check-in in ~1 week(s).
  Why this is suggested:
    - Breakthrough + manageable (medium-impact) side effects while still titrating - slow the uptitration and reassess after a 1-week adjustment period (side effects are often most pronounced right after an increase).
AI-generated DRAFT - rules-based, no medical recommendation is final until the reviewing physician approves it.</t>
  </si>
  <si>
    <t>Thank you for the update on your child.
Based on your answers, your care team may suggest continuing clobazam with a slower, gentler increase. They will confirm the plan with you.
Side effects can be the most pronounced immediately after a dose increase and improve as the body adjusts to the medicine. If your child is showing a pattern of medium impact side effects early after a dose increase with improvement after 1 week, then we can consider continuing to slowly increase the medication dose. If your child is showing a pattern of big impact side effects early after a dose increase and continuing to have medium impact side effects after 1 week, then we might want to consider adding another medication rather than continuing dose increases. From your observations, do you think your child is showing an adjustment to the medication after being on a stable dose for 1 week, and side effects are manageable after this 1 week adjustment period? Yes - side effects are manageable / No - side effects are having too much of an impact on daily life and I would prefer avoiding more dose increases.
We'd like to check in again with a short online update in about 1 weeks.
Please do not change the medicine before hearing from the team. 
- [physician name]
[DRAFT - physician review required before sending]</t>
  </si>
  <si>
    <t>BX1</t>
  </si>
  <si>
    <t>BX</t>
  </si>
  <si>
    <t>breakthrough + intolerable behavior_change, wants change</t>
  </si>
  <si>
    <t>behavior_change (intolerable, wants change)</t>
  </si>
  <si>
    <t>Consider switching to a different medicine</t>
  </si>
  <si>
    <t>Breakthrough + intolerable side effects -&gt; switch.</t>
  </si>
  <si>
    <t>AI MEDICATION ASSISTANT - Between-Visit Summary (draft for review)
Patient BX1 · 13 yr · 45 kg · Medication: Levetiracetam
What the family reported
  • Medication use: almost never misses a dose
  • Current dose: 250 mg x 2/day = 500 mg/day
  • Seizures: breakthrough seizures reported - number not given; type(s): one part of the body shaking or twitching
  • Side effects: behavior change - overall intolerable
      impact on daily life: a big impact - family would like a change
  • Dose status: still increasing
  • Family preference: no strong preference (defers to the team)
Suggested next step
  Consider switching to a different medicine
  Reason: Breakthrough + intolerable side effects -&gt; switch.
  Switch target: for the physician to choose (no chart-approved option). A switch-candidate menu is a planned feature.
  Why this is suggested:
    - Breakthrough seizures + intolerable side effects - switch.
AI-generated DRAFT - rules-based, no medical recommendation is final until the reviewing physician approves it.</t>
  </si>
  <si>
    <t>Thank you for the update on your child.
Based on your answers, your care team may discuss trying a different medicine instead of levetiracetam. They will be in touch.
Please do not change the medicine before hearing from the team. 
- [physician name]
[DRAFT - physician review required before sending]</t>
  </si>
  <si>
    <t>BX2</t>
  </si>
  <si>
    <t>breakthrough + intolerable irritability, wants change</t>
  </si>
  <si>
    <t>irritability (intolerable, wants change)</t>
  </si>
  <si>
    <t>AI MEDICATION ASSISTANT - Between-Visit Summary (draft for review)
Patient BX2 · 12 yr · 40 kg · Medication: Oxcarbazepine
What the family reported
  • Medication use: almost never misses a dose
  • Current dose: 250 mg x 2/day = 500 mg/day
  • Seizures: breakthrough seizures reported - number not given; type(s): one part of the body shaking or twitching
  • Side effects: irritability - overall intolerable
      impact on daily life: a big impact - family would like a change
  • Dose status: still increasing
  • Family preference: no strong preference (defers to the team)
Suggested next step
  Consider switching to a different medicine
  Reason: Breakthrough + intolerable side effects -&gt; switch.
  Switch target: for the physician to choose (no chart-approved option). A switch-candidate menu is a planned feature.
  Do NOT switch to: carbamazepine (already tried, or a worse-tolerated option).
  Why this is suggested:
    - Breakthrough seizures + intolerable side effects - switch.
  ⚠ oxcarbazepine: consider HLA-B*1502 screening before/around use (higher SJS/TEN risk in patients of Southeast/East Asian ancestry).
AI-generated DRAFT - rules-based, no medical recommendation is final until the reviewing physician approves it.</t>
  </si>
  <si>
    <t>Thank you for the update on your child.
Based on your answers, your care team may discuss trying a different medicine instead of oxcarbazepine. They will be in touch.
Please do not change the medicine before hearing from the team. 
- [physician name]
[DRAFT - physician review required before sending]</t>
  </si>
  <si>
    <t>BX3</t>
  </si>
  <si>
    <t>breakthrough + intolerable dizziness, wants change</t>
  </si>
  <si>
    <t>dizziness (intolerable, wants change)</t>
  </si>
  <si>
    <t>AI MEDICATION ASSISTANT - Between-Visit Summary (draft for review)
Patient BX3 · 9 yr · 29 kg · Medication: Lamotrigine
What the family reported
  • Medication use: almost never misses a dose
  • Current dose: 250 mg x 2/day = 500 mg/day
  • Seizures: breakthrough seizures reported - number not given; type(s): one part of the body shaking or twitching
  • Side effects: dizziness - overall intolerable
      impact on daily life: a big impact - family would like a change
  • Dose status: still increasing
  • Family preference: no strong preference (defers to the team)
Suggested next step
  Consider switching to a different medicine
  Reason: Breakthrough + intolerable side effects -&gt; switch.
  Switch target: for the physician to choose (no chart-approved option). A switch-candidate menu is a planned feature.
  Why this is suggested:
    - Breakthrough seizures + intolerable side effects - switch.
AI-generated DRAFT - rules-based, no medical recommendation is final until the reviewing physician approves it.</t>
  </si>
  <si>
    <t>Thank you for the update on your child.
Based on your answers, your care team may discuss trying a different medicine instead of lamotrigine. They will be in touch.
Please do not change the medicine before hearing from the team. 
- [physician name]
[DRAFT - physician review required before sending]</t>
  </si>
  <si>
    <t>BX4</t>
  </si>
  <si>
    <t>breakthrough + intolerable mood, wants change</t>
  </si>
  <si>
    <t>mood (intolerable, wants change)</t>
  </si>
  <si>
    <t>AI MEDICATION ASSISTANT - Between-Visit Summary (draft for review)
Patient BX4 · 14 yr · 50 kg · Medication: Valproic Acid
What the family reported
  • Medication use: almost never misses a dose
  • Current dose: 250 mg x 2/day = 500 mg/day
  • Seizures: breakthrough seizures reported - number not given; type(s): one part of the body shaking or twitching
  • Side effects: mood changes - overall intolerable
      impact on daily life: a big impact - family would like a change
  • Dose status: still increasing
  • Family preference: no strong preference (defers to the team)
Suggested next step
  Consider switching to a different medicine
  Reason: Breakthrough + intolerable side effects -&gt; switch.
  Switch target: for the physician to choose (no chart-approved option). A switch-candidate menu is a planned feature.
  Why this is suggested:
    - Breakthrough seizures + intolerable side effects - switch.
  ⚠ valproic_acid: requires lab monitoring.
AI-generated DRAFT - rules-based, no medical recommendation is final until the reviewing physician approves it.</t>
  </si>
  <si>
    <t>Thank you for the update on your child.
Based on your answers, your care team may discuss trying a different medicine instead of valproic_acid. They will be in touch.
Please do not change the medicine before hearing from the team. 
- [physician name]
[DRAFT - physician review required before sending]</t>
  </si>
  <si>
    <t>BX5</t>
  </si>
  <si>
    <t>breakthrough + intolerable word_finding, wants change</t>
  </si>
  <si>
    <t>word_finding (intolerable, wants change)</t>
  </si>
  <si>
    <t>AI MEDICATION ASSISTANT - Between-Visit Summary (draft for review)
Patient BX5 · 10 yr · 32 kg · Medication: Lacosamide
What the family reported
  • Medication use: almost never misses a dose
  • Current dose: 250 mg x 2/day = 500 mg/day
  • Seizures: breakthrough seizures reported - number not given; type(s): one part of the body shaking or twitching
  • Side effects: word-finding trouble - overall intolerable
      impact on daily life: a big impact - family would like a change
  • Dose status: still increasing
  • Family preference: no strong preference (defers to the team)
Suggested next step
  Consider switching to a different medicine
  Reason: Breakthrough + intolerable side effects -&gt; switch.
  Switch target: for the physician to choose (no chart-approved option). A switch-candidate menu is a planned feature.
  Why this is suggested:
    - Breakthrough seizures + intolerable side effects - switch.
AI-generated DRAFT - rules-based, no medical recommendation is final until the reviewing physician approves it.</t>
  </si>
  <si>
    <t>Thank you for the update on your child.
Based on your answers, your care team may discuss trying a different medicine instead of lacosamide. They will be in touch.
Please do not change the medicine before hearing from the team. 
- [physician name]
[DRAFT - physician review required before sending]</t>
  </si>
  <si>
    <t>BX6</t>
  </si>
  <si>
    <t>breakthrough + intolerable nausea, wants change</t>
  </si>
  <si>
    <t>nausea (intolerable, wants change)</t>
  </si>
  <si>
    <t>AI MEDICATION ASSISTANT - Between-Visit Summary (draft for review)
Patient BX6 · 15 yr · 55 kg · Medication: Clobazam
What the family reported
  • Medication use: almost never misses a dose
  • Current dose: 250 mg x 2/day = 500 mg/day
  • Seizures: breakthrough seizures reported - number not given; type(s): one part of the body shaking or twitching
  • Side effects: nausea - overall intolerable
      impact on daily life: a big impact - family would like a change
  • Dose status: still increasing
  • Family preference: no strong preference (defers to the team)
Suggested next step
  Consider switching to a different medicine
  Reason: Breakthrough + intolerable side effects -&gt; switch.
  Switch target: for the physician to choose (no chart-approved option). A switch-candidate menu is a planned feature.
  Why this is suggested:
    - Breakthrough seizures + intolerable side effects - switch.
AI-generated DRAFT - rules-based, no medical recommendation is final until the reviewing physician approves it.</t>
  </si>
  <si>
    <t>Thank you for the update on your child.
Based on your answers, your care team may discuss trying a different medicine instead of clobazam. They will be in touch.
Please do not change the medicine before hearing from the team. 
- [physician name]
[DRAFT - physician review required before sending]</t>
  </si>
  <si>
    <t>C1</t>
  </si>
  <si>
    <t>C</t>
  </si>
  <si>
    <t>adherence-driven breakthrough (missed meds)</t>
  </si>
  <si>
    <t>Sometimes misses (missed_medication); off med 2d prior</t>
  </si>
  <si>
    <t>Seizures during missed doses -&gt; support adherence, no dose change.</t>
  </si>
  <si>
    <t>AI MEDICATION ASSISTANT - Between-Visit Summary (draft for review)
Patient C1 · 9 yr · 29 kg · Medication: Levetiracetam
What the family reported
  • Medication use: sometimes misses doses (reasons given: missed medication)
  • Current dose: 250 mg x 2/day = 500 mg/day
  • Seizures: breakthrough seizures reported - 2 per week; type(s): one part of the body shaking or twitching
      taking medication in the 2 days before: no (doses were missed)
  • Side effects: none reported
  • Dose status: still increasing
  • Family preference: no strong preference (defers to the team)
Suggested next step
  Keep the current dose (no change)
  Reason: Seizures during missed doses -&gt; support adherence, no dose change.
  Why this is suggested:
    - Breakthrough seizures coincide with missed/stopped medication - address adherence before any dose change.
  Note on adherence: Breakthrough seizures occurred during missed doses. Support adherence before changing the dose.
AI-generated DRAFT - rules-based, no medical recommendation is final until the reviewing physician approves it.</t>
  </si>
  <si>
    <t>Thank you for the update on your child.
Based on your answers, your care team may suggest keeping the levetiracetam the same for now. Please continue as prescribed.
A few things that help with remembering doses: a weekly pill box, a daily phone alarm, keeping the medicine next to your toothbrush, and tying it to an everyday routine.
Please do not change the medicine before hearing from the team. 
- [physician name]
[DRAFT - physician review required before sending]</t>
  </si>
  <si>
    <t>C2</t>
  </si>
  <si>
    <t>AI MEDICATION ASSISTANT - Between-Visit Summary (draft for review)
Patient C2 · 9 yr · 29 kg · Medication: Oxcarbazepine
What the family reported
  • Medication use: sometimes misses doses (reasons given: missed medication)
  • Current dose: 250 mg x 2/day = 500 mg/day
  • Seizures: breakthrough seizures reported - 2 per week; type(s): one part of the body shaking or twitching
      taking medication in the 2 days before: no (doses were missed)
  • Side effects: none reported
  • Dose status: still increasing
  • Family preference: no strong preference (defers to the team)
Suggested next step
  Keep the current dose (no change)
  Reason: Seizures during missed doses -&gt; support adherence, no dose change.
  Do NOT switch to: carbamazepine (already tried, or a worse-tolerated option).
  Why this is suggested:
    - Breakthrough seizures coincide with missed/stopped medication - address adherence before any dose change.
  Note on adherence: Breakthrough seizures occurred during missed doses. Support adherence before changing the dose.
  ⚠ oxcarbazepine: consider HLA-B*1502 screening before/around use (higher SJS/TEN risk in patients of Southeast/East Asian ancestry).
AI-generated DRAFT - rules-based, no medical recommendation is final until the reviewing physician approves it.</t>
  </si>
  <si>
    <t>Thank you for the update on your child.
Based on your answers, your care team may suggest keeping the oxcarbazepine the same for now. Please continue as prescribed.
A few things that help with remembering doses: a weekly pill box, a daily phone alarm, keeping the medicine next to your toothbrush, and tying it to an everyday routine.
Please do not change the medicine before hearing from the team. 
- [physician name]
[DRAFT - physician review required before sending]</t>
  </si>
  <si>
    <t>C3</t>
  </si>
  <si>
    <t>AI MEDICATION ASSISTANT - Between-Visit Summary (draft for review)
Patient C3 · 14 yr · 50 kg · Medication: Lamotrigine
What the family reported
  • Medication use: sometimes misses doses (reasons given: missed medication)
  • Current dose: 250 mg x 2/day = 500 mg/day
  • Seizures: breakthrough seizures reported - 2 per week; type(s): one part of the body shaking or twitching
      taking medication in the 2 days before: no (doses were missed)
  • Side effects: none reported
  • Dose status: still increasing
  • Family preference: no strong preference (defers to the team)
Suggested next step
  Keep the current dose (no change)
  Reason: Seizures during missed doses -&gt; support adherence, no dose change.
  Why this is suggested:
    - Breakthrough seizures coincide with missed/stopped medication - address adherence before any dose change.
  Note on adherence: Breakthrough seizures occurred during missed doses. Support adherence before changing the dose.
  ⚠ lamotrigine: missed/stopped doses raise serious-rash (SJS) risk on abrupt restart - consider offering a switch and warn the family.
AI-generated DRAFT - rules-based, no medical recommendation is final until the reviewing physician approves it.</t>
  </si>
  <si>
    <t>Thank you for the update on your child.
Based on your answers, your care team may suggest keeping the lamotrigine the same for now. Please continue as prescribed.
A few things that help with remembering doses: a weekly pill box, a daily phone alarm, keeping the medicine next to your toothbrush, and tying it to an everyday routine.
Please do not change the medicine before hearing from the team. 
- [physician name]
[DRAFT - physician review required before sending]</t>
  </si>
  <si>
    <t>C4</t>
  </si>
  <si>
    <t>AI MEDICATION ASSISTANT - Between-Visit Summary (draft for review)
Patient C4 · 10 yr · 32 kg · Medication: Valproic Acid
What the family reported
  • Medication use: sometimes misses doses (reasons given: missed medication)
  • Current dose: 250 mg x 2/day = 500 mg/day
  • Seizures: breakthrough seizures reported - 2 per week; type(s): one part of the body shaking or twitching
      taking medication in the 2 days before: no (doses were missed)
  • Side effects: none reported
  • Dose status: still increasing
  • Family preference: no strong preference (defers to the team)
Suggested next step
  Keep the current dose (no change)
  Reason: Seizures during missed doses -&gt; support adherence, no dose change.
  Why this is suggested:
    - Breakthrough seizures coincide with missed/stopped medication - address adherence before any dose change.
  Note on adherence: Breakthrough seizures occurred during missed doses. Support adherence before changing the dose.
  ⚠ valproic_acid: requires lab monitoring.
AI-generated DRAFT - rules-based, no medical recommendation is final until the reviewing physician approves it.</t>
  </si>
  <si>
    <t>Thank you for the update on your child.
Based on your answers, your care team may suggest keeping the valproic_acid the same for now. Please continue as prescribed.
A few things that help with remembering doses: a weekly pill box, a daily phone alarm, keeping the medicine next to your toothbrush, and tying it to an everyday routine.
Please do not change the medicine before hearing from the team. 
- [physician name]
[DRAFT - physician review required before sending]</t>
  </si>
  <si>
    <t>C5</t>
  </si>
  <si>
    <t>AI MEDICATION ASSISTANT - Between-Visit Summary (draft for review)
Patient C5 · 8 yr · 26 kg · Medication: Lacosamide
What the family reported
  • Medication use: sometimes misses doses (reasons given: missed medication)
  • Current dose: 250 mg x 2/day = 500 mg/day
  • Seizures: breakthrough seizures reported - 2 per week; type(s): one part of the body shaking or twitching
      taking medication in the 2 days before: no (doses were missed)
  • Side effects: none reported
  • Dose status: still increasing
  • Family preference: no strong preference (defers to the team)
Suggested next step
  Keep the current dose (no change)
  Reason: Seizures during missed doses -&gt; support adherence, no dose change.
  Why this is suggested:
    - Breakthrough seizures coincide with missed/stopped medication - address adherence before any dose change.
  Note on adherence: Breakthrough seizures occurred during missed doses. Support adherence before changing the dose.
AI-generated DRAFT - rules-based, no medical recommendation is final until the reviewing physician approves it.</t>
  </si>
  <si>
    <t>Thank you for the update on your child.
Based on your answers, your care team may suggest keeping the lacosamide the same for now. Please continue as prescribed.
A few things that help with remembering doses: a weekly pill box, a daily phone alarm, keeping the medicine next to your toothbrush, and tying it to an everyday routine.
Please do not change the medicine before hearing from the team. 
- [physician name]
[DRAFT - physician review required before sending]</t>
  </si>
  <si>
    <t>CS1</t>
  </si>
  <si>
    <t>CS</t>
  </si>
  <si>
    <t>stopped med (side_effects)</t>
  </si>
  <si>
    <t>Stopped med (side_effects)</t>
  </si>
  <si>
    <t>Seizure-free</t>
  </si>
  <si>
    <t>Stopped due to side_effects -&gt; switch.</t>
  </si>
  <si>
    <t>AI MEDICATION ASSISTANT - Between-Visit Summary (draft for review)
Patient CS1 · 9 yr · 29 kg · Medication: Oxcarbazepine
What the family reported
  • Medication use: has stopped taking it
  • Current dose: 250 mg x 2/day = 500 mg/day
  • Seizures: none reported this interval
  • Side effects: none reported
  • Dose status: still increasing
  • Family preference: no strong preference (defers to the team)
Suggested next step
  Consider switching to a different medicine
  Reason: Stopped due to side_effects -&gt; switch.
  Switch target: for the physician to choose (no chart-approved option). A switch-candidate menu is a planned feature.
  Do NOT switch to: carbamazepine (already tried, or a worse-tolerated option).
  Why this is suggested:
    - Family stopped the medication (reason: side_effects) - switch to a better-tolerated/feasible option.
  ⚠ oxcarbazepine: consider HLA-B*1502 screening before/around use (higher SJS/TEN risk in patients of Southeast/East Asian ancestry).
AI-generated DRAFT - rules-based, no medical recommendation is final until the reviewing physician approves it.</t>
  </si>
  <si>
    <t>Thank you for the update on your child.
Based on your answers, your care team may discuss trying a different medicine instead of oxcarbazepine. They will be in touch.
A few things that help with remembering doses: a weekly pill box, a daily phone alarm, keeping the medicine next to your toothbrush, and tying it to an everyday routine.
Please do not change the medicine before hearing from the team. 
- [physician name]
[DRAFT - physician review required before sending]</t>
  </si>
  <si>
    <t>CS2</t>
  </si>
  <si>
    <t>stopped med (cost)</t>
  </si>
  <si>
    <t>Carbamazepine</t>
  </si>
  <si>
    <t>Stopped med (cost)</t>
  </si>
  <si>
    <t>Stopped due to cost -&gt; switch.</t>
  </si>
  <si>
    <t>AI MEDICATION ASSISTANT - Between-Visit Summary (draft for review)
Patient CS2 · 9 yr · 29 kg · Medication: Carbamazepine
What the family reported
  • Medication use: has stopped taking it
  • Current dose: 250 mg x 2/day = 500 mg/day
  • Seizures: none reported this interval
  • Side effects: none reported
  • Dose status: still increasing
  • Family preference: no strong preference (defers to the team)
Suggested next step
  Consider switching to a different medicine
  Reason: Stopped due to cost -&gt; switch.
  Switch target: for the physician to choose (no chart-approved option). A switch-candidate menu is a planned feature.
  Why this is suggested:
    - Family stopped the medication (reason: cost) - switch to a better-tolerated/feasible option.
  ⚠ carbamazepine: requires lab monitoring.
  ⚠ carbamazepine: consider HLA-B*1502 screening before/around use (higher SJS/TEN risk in patients of Southeast/East Asian ancestry).
AI-generated DRAFT - rules-based, no medical recommendation is final until the reviewing physician approves it.</t>
  </si>
  <si>
    <t>Thank you for the update on your child.
Based on your answers, your care team may discuss trying a different medicine instead of carbamazepine. They will be in touch.
A few things that help with remembering doses: a weekly pill box, a daily phone alarm, keeping the medicine next to your toothbrush, and tying it to an everyday routine.
Please do not change the medicine before hearing from the team. 
- [physician name]
[DRAFT - physician review required before sending]</t>
  </si>
  <si>
    <t>CS3</t>
  </si>
  <si>
    <t>AI MEDICATION ASSISTANT - Between-Visit Summary (draft for review)
Patient CS3 · 12 yr · 40 kg · Medication: Topiramate
What the family reported
  • Medication use: has stopped taking it
  • Current dose: 250 mg x 2/day = 500 mg/day
  • Seizures: none reported this interval
  • Side effects: none reported
  • Dose status: still increasing
  • Family preference: no strong preference (defers to the team)
Suggested next step
  Consider switching to a different medicine
  Reason: Stopped due to side_effects -&gt; switch.
  Switch target: for the physician to choose (no chart-approved option). A switch-candidate menu is a planned feature.
  Why this is suggested:
    - Family stopped the medication (reason: side_effects) - switch to a better-tolerated/feasible option.
AI-generated DRAFT - rules-based, no medical recommendation is final until the reviewing physician approves it.</t>
  </si>
  <si>
    <t>Thank you for the update on your child.
Based on your answers, your care team may discuss trying a different medicine instead of topiramate. They will be in touch.
A few things that help with remembering doses: a weekly pill box, a daily phone alarm, keeping the medicine next to your toothbrush, and tying it to an everyday routine.
Please do not change the medicine before hearing from the team. 
- [physician name]
[DRAFT - physician review required before sending]</t>
  </si>
  <si>
    <t>CS4</t>
  </si>
  <si>
    <t>Zonisamide</t>
  </si>
  <si>
    <t>AI MEDICATION ASSISTANT - Between-Visit Summary (draft for review)
Patient CS4 · 11 yr · 36 kg · Medication: Zonisamide
What the family reported
  • Medication use: has stopped taking it
  • Current dose: 250 mg x 2/day = 500 mg/day
  • Seizures: none reported this interval
  • Side effects: none reported
  • Dose status: still increasing
  • Family preference: no strong preference (defers to the team)
Suggested next step
  Consider switching to a different medicine
  Reason: Stopped due to cost -&gt; switch.
  Switch target: for the physician to choose (no chart-approved option). A switch-candidate menu is a planned feature.
  Why this is suggested:
    - Family stopped the medication (reason: cost) - switch to a better-tolerated/feasible option.
AI-generated DRAFT - rules-based, no medical recommendation is final until the reviewing physician approves it.</t>
  </si>
  <si>
    <t>Thank you for the update on your child.
Based on your answers, your care team may discuss trying a different medicine instead of zonisamide. They will be in touch.
A few things that help with remembering doses: a weekly pill box, a daily phone alarm, keeping the medicine next to your toothbrush, and tying it to an everyday routine.
Please do not change the medicine before hearing from the team. 
- [physician name]
[DRAFT - physician review required before sending]</t>
  </si>
  <si>
    <t>CI1</t>
  </si>
  <si>
    <t>CI</t>
  </si>
  <si>
    <t>partial adherence + illness trigger, no duration</t>
  </si>
  <si>
    <t>Sometimes misses (illness)</t>
  </si>
  <si>
    <t>Breakthrough | type: whole_body | 1/week</t>
  </si>
  <si>
    <t>AI MEDICATION ASSISTANT - Between-Visit Summary (draft for review)
Patient CI1 · 9 yr · 29 kg · Medication: Valproic Acid
What the family reported
  • Medication use: sometimes misses doses (reasons given: illness)
  • Current dose: 250 mg x 2/day = 500 mg/day
  • Seizures: breakthrough seizures reported - 1 per week; type(s): whole-body shaking or stiffening
      taking medication in the 2 days before: yes
  • Side effects: none reported
  • Dose status: still increasing
  • Family preference: no strong preference (defers to the team)
Suggested next step
  Needs clinician review - not enough information to suggest a change
  Reason: Need seizure duration to decide continue vs increase faster.
  Why this is suggested:
    - Breakthrough seizures but their DURATION was not captured - cannot decide continue-vs-increase-faster. Need seizure duration (how long each one lasts).
  ⚠ valproic_acid: requires lab monitoring.
AI-generated DRAFT - rules-based, no medical recommendation is final until the reviewing physician approves it.</t>
  </si>
  <si>
    <t>CI2</t>
  </si>
  <si>
    <t>AI MEDICATION ASSISTANT - Between-Visit Summary (draft for review)
Patient CI2 · 10 yr · 32 kg · Medication: Levetiracetam
What the family reported
  • Medication use: sometimes misses doses (reasons given: illness)
  • Current dose: 250 mg x 2/day = 500 mg/day
  • Seizures: breakthrough seizures reported - 1 per week; type(s): whole-body shaking or stiffening
      taking medication in the 2 days before: yes
  • Side effects: none reported
  • Dose status: still increasing
  • Family preference: no strong preference (defers to the team)
Suggested next step
  Needs clinician review - not enough information to suggest a change
  Reason: Need seizure duration to decide continue vs increase faster.
  Why this is suggested:
    - Breakthrough seizures but their DURATION was not captured - cannot decide continue-vs-increase-faster. Need seizure duration (how long each one lasts).
AI-generated DRAFT - rules-based, no medical recommendation is final until the reviewing physician approves it.</t>
  </si>
  <si>
    <t>CI3</t>
  </si>
  <si>
    <t>AI MEDICATION ASSISTANT - Between-Visit Summary (draft for review)
Patient CI3 · 12 yr · 40 kg · Medication: Lamotrigine
What the family reported
  • Medication use: sometimes misses doses (reasons given: illness)
  • Current dose: 250 mg x 2/day = 500 mg/day
  • Seizures: breakthrough seizures reported - 1 per week; type(s): whole-body shaking or stiffening
      taking medication in the 2 days before: yes
  • Side effects: none reported
  • Dose status: still increasing
  • Family preference: no strong preference (defers to the team)
Suggested next step
  Needs clinician review - not enough information to suggest a change
  Reason: Need seizure duration to decide continue vs increase faster.
  Why this is suggested:
    - Breakthrough seizures but their DURATION was not captured - cannot decide continue-vs-increase-faster. Need seizure duration (how long each one lasts).
  ⚠ lamotrigine: missed/stopped doses raise serious-rash (SJS) risk on abrupt restart - consider offering a switch and warn the family.
AI-generated DRAFT - rules-based, no medical recommendation is final until the reviewing physician approves it.</t>
  </si>
  <si>
    <t>D1</t>
  </si>
  <si>
    <t>D</t>
  </si>
  <si>
    <t>seizure-free, titrating, no SE</t>
  </si>
  <si>
    <t>Seizure-free, no side effects -&gt; no change (continue plan).</t>
  </si>
  <si>
    <t>AI MEDICATION ASSISTANT - Between-Visit Summary (draft for review)
Patient D1 · 10 yr · 32 kg · Medication: Levetiracetam
What the family reported
  • Medication use: almost never misses a dose
  • Current dose: 250 mg x 2/day = 500 mg/day
  • Seizures: none reported this interval
  • Side effects: none reported
  • Dose status: still increasing
  • Family preference: no strong preference (defers to the team)
Suggested next step
  Keep the current dose (no change)
  Reason: Seizure-free, no side effects -&gt; no change (continue plan).
  Recommended follow-up: schedule another digital check-in in ~4 week(s).
  Why this is suggested:
    - Seizure-free with no side effects - no medication change. Continue the current plan; if still titrating, recheck on schedule.
AI-generated DRAFT - rules-based, no medical recommendation is final until the reviewing physician approves it.</t>
  </si>
  <si>
    <t>D2</t>
  </si>
  <si>
    <t>AI MEDICATION ASSISTANT - Between-Visit Summary (draft for review)
Patient D2 · 11 yr · 36 kg · Medication: Oxcarbazepine
What the family reported
  • Medication use: almost never misses a dose
  • Current dose: 250 mg x 2/day = 500 mg/day
  • Seizures: none reported this interval
  • Side effects: none reported
  • Dose status: still increasing
  • Overall, the family feels things are: better
  • Family preference: no strong preference (defers to the team)
Suggested next step
  Keep the current dose (no change)
  Reason: Seizure-free, no side effects -&gt; no change (continue plan).
  Do NOT switch to: carbamazepine (already tried, or a worse-tolerated option).
  Recommended follow-up: schedule another digital check-in in ~4 week(s).
  Why this is suggested:
    - Seizure-free with no side effects - no medication change. Continue the current plan; if still titrating, recheck on schedule.
  ⚠ oxcarbazepine: consider HLA-B*1502 screening before/around use (higher SJS/TEN risk in patients of Southeast/East Asian ancestry).
AI-generated DRAFT - rules-based, no medical recommendation is final until the reviewing physician approves it.</t>
  </si>
  <si>
    <t>D3</t>
  </si>
  <si>
    <t>AI MEDICATION ASSISTANT - Between-Visit Summary (draft for review)
Patient D3 · 8 yr · 26 kg · Medication: Lamotrigine
What the family reported
  • Medication use: almost never misses a dose
  • Current dose: 250 mg x 2/day = 500 mg/day
  • Seizures: none reported this interval
  • Side effects: none reported
  • Dose status: still increasing
  • Family preference: no strong preference (defers to the team)
Suggested next step
  Keep the current dose (no change)
  Reason: Seizure-free, no side effects -&gt; no change (continue plan).
  Recommended follow-up: schedule another digital check-in in ~4 week(s).
  Why this is suggested:
    - Seizure-free with no side effects - no medication change. Continue the current plan; if still titrating, recheck on schedule.
AI-generated DRAFT - rules-based, no medical recommendation is final until the reviewing physician approves it.</t>
  </si>
  <si>
    <t>D4</t>
  </si>
  <si>
    <t>AI MEDICATION ASSISTANT - Between-Visit Summary (draft for review)
Patient D4 · 12 yr · 40 kg · Medication: Valproic Acid
What the family reported
  • Medication use: almost never misses a dose
  • Current dose: 250 mg x 2/day = 500 mg/day
  • Seizures: none reported this interval
  • Side effects: none reported
  • Dose status: still increasing
  • Overall, the family feels things are: better
  • Family preference: no strong preference (defers to the team)
Suggested next step
  Keep the current dose (no change)
  Reason: Seizure-free, no side effects -&gt; no change (continue plan).
  Recommended follow-up: schedule another digital check-in in ~4 week(s).
  Why this is suggested:
    - Seizure-free with no side effects - no medication change. Continue the current plan; if still titrating, recheck on schedule.
  ⚠ valproic_acid: requires lab monitoring.
AI-generated DRAFT - rules-based, no medical recommendation is final until the reviewing physician approves it.</t>
  </si>
  <si>
    <t>D5</t>
  </si>
  <si>
    <t>AI MEDICATION ASSISTANT - Between-Visit Summary (draft for review)
Patient D5 · 13 yr · 45 kg · Medication: Lacosamide
What the family reported
  • Medication use: almost never misses a dose
  • Current dose: 250 mg x 2/day = 500 mg/day
  • Seizures: none reported this interval
  • Side effects: none reported
  • Dose status: still increasing
  • Family preference: no strong preference (defers to the team)
Suggested next step
  Keep the current dose (no change)
  Reason: Seizure-free, no side effects -&gt; no change (continue plan).
  Recommended follow-up: schedule another digital check-in in ~4 week(s).
  Why this is suggested:
    - Seizure-free with no side effects - no medication change. Continue the current plan; if still titrating, recheck on schedule.
AI-generated DRAFT - rules-based, no medical recommendation is final until the reviewing physician approves it.</t>
  </si>
  <si>
    <t>D6</t>
  </si>
  <si>
    <t>AI MEDICATION ASSISTANT - Between-Visit Summary (draft for review)
Patient D6 · 9 yr · 29 kg · Medication: Clobazam
What the family reported
  • Medication use: almost never misses a dose
  • Current dose: 250 mg x 2/day = 500 mg/day
  • Seizures: none reported this interval
  • Side effects: none reported
  • Dose status: still increasing
  • Overall, the family feels things are: better
  • Family preference: no strong preference (defers to the team)
Suggested next step
  Keep the current dose (no change)
  Reason: Seizure-free, no side effects -&gt; no change (continue plan).
  Recommended follow-up: schedule another digital check-in in ~4 week(s).
  Why this is suggested:
    - Seizure-free with no side effects - no medication change. Continue the current plan; if still titrating, recheck on schedule.
AI-generated DRAFT - rules-based, no medical recommendation is final until the reviewing physician approves it.</t>
  </si>
  <si>
    <t>E1</t>
  </si>
  <si>
    <t>E</t>
  </si>
  <si>
    <t>seizure-free + sleepiness (small)</t>
  </si>
  <si>
    <t>No seizures; side effects low/none (L0-L1) -&gt; continue the current plan.</t>
  </si>
  <si>
    <t>AI MEDICATION ASSISTANT - Between-Visit Summary (draft for review)
Patient E1 · 10 yr · 32 kg · Medication: Levetiracetam
What the family reported
  • Medication use: almost never misses a dose
  • Current dose: 250 mg x 2/day = 500 mg/day
  • Seizures: none reported this interval
  • Side effects: sleepiness - overall manageable but unwanted
      impact on daily life: a small impact
  • Dose status: still increasing
  • Family preference: no strong preference (defers to the team)
Suggested next step
  Keep the current dose (no change)
  Reason: No seizures; side effects low/none (L0-L1) -&gt; continue the current plan.
  Recommended follow-up: schedule another digital check-in in ~4 week(s).
  Why this is suggested:
    - Seizure-free; action taken from Dr. Barbour's 2026-06-25 No-Seizures table by phase x side-effect level (DRAFT, verified:false).
AI-generated DRAFT - rules-based, no medical recommendation is final until the reviewing physician approves it.</t>
  </si>
  <si>
    <t>E2</t>
  </si>
  <si>
    <t>seizure-free + mood (small)</t>
  </si>
  <si>
    <t>AI MEDICATION ASSISTANT - Between-Visit Summary (draft for review)
Patient E2 · 10 yr · 32 kg · Medication: Oxcarbazepine
What the family reported
  • Medication use: almost never misses a dose
  • Current dose: 250 mg x 2/day = 500 mg/day
  • Seizures: none reported this interval
  • Side effects: mood changes - overall manageable but unwanted
      impact on daily life: a small impact
  • Dose status: still increasing
  • Family preference: no strong preference (defers to the team)
Suggested next step
  Keep the current dose (no change)
  Reason: No seizures; side effects low/none (L0-L1) -&gt; continue the current plan.
  Do NOT switch to: carbamazepine (already tried, or a worse-tolerated option).
  Recommended follow-up: schedule another digital check-in in ~4 week(s).
  Why this is suggested:
    - Seizure-free; action taken from Dr. Barbour's 2026-06-25 No-Seizures table by phase x side-effect level (DRAFT, verified:false).
  ⚠ oxcarbazepine: consider HLA-B*1502 screening before/around use (higher SJS/TEN risk in patients of Southeast/East Asian ancestry).
AI-generated DRAFT - rules-based, no medical recommendation is final until the reviewing physician approves it.</t>
  </si>
  <si>
    <t>E3</t>
  </si>
  <si>
    <t>seizure-free + dizziness (medium_big)</t>
  </si>
  <si>
    <t>dizziness (difficult but tolerable)</t>
  </si>
  <si>
    <t>Seizure-free + tolerable side effects -&gt; no change; reassess soon.</t>
  </si>
  <si>
    <t>AI MEDICATION ASSISTANT - Between-Visit Summary (draft for review)
Patient E3 · 8 yr · 26 kg · Medication: Lamotrigine
What the family reported
  • Medication use: almost never misses a dose
  • Current dose: 250 mg x 2/day = 500 mg/day
  • Seizures: none reported this interval
  • Side effects: dizziness - overall manageable but unwanted
      impact on daily life: a lot of impact (still tolerable)
  • Dose status: still increasing
  • Family preference: no strong preference (defers to the team)
Suggested next step
  Keep the current dose (no change)
  Reason: Seizure-free + tolerable side effects -&gt; no change; reassess soon.
  Recommended follow-up: schedule another digital check-in in ~1 week(s).
  Why this is suggested:
    - Seizure-free with manageable/difficult-but-tolerable side effects - no medication change; reassess whether the side effect eases as the body adjusts.
AI-generated DRAFT - rules-based, no medical recommendation is final until the reviewing physician approves it.</t>
  </si>
  <si>
    <t>Thank you for the update on your child.
Based on your answers, your care team may suggest keeping the lamotrigine the same for now. Please continue as prescribed.
We'd like to check in again with a short online update in about 1 weeks.
Please do not change the medicine before hearing from the team. 
- [physician name]
[DRAFT - physician review required before sending]</t>
  </si>
  <si>
    <t>E4</t>
  </si>
  <si>
    <t>seizure-free + nausea (no_impact)</t>
  </si>
  <si>
    <t>nausea (no impact)</t>
  </si>
  <si>
    <t>AI MEDICATION ASSISTANT - Between-Visit Summary (draft for review)
Patient E4 · 7 yr · 23 kg · Medication: Valproic Acid
What the family reported
  • Medication use: almost never misses a dose
  • Current dose: 250 mg x 2/day = 500 mg/day
  • Seizures: none reported this interval
  • Side effects: nausea - overall none
      impact on daily life: no impact on daily life
  • Dose status: still increasing
  • Family preference: no strong preference (defers to the team)
Suggested next step
  Keep the current dose (no change)
  Reason: No seizures; side effects low/none (L0-L1) -&gt; continue the current plan.
  Recommended follow-up: schedule another digital check-in in ~4 week(s).
  Why this is suggested:
    - Seizure-free; action taken from Dr. Barbour's 2026-06-25 No-Seizures table by phase x side-effect level (DRAFT, verified:false).
  ⚠ valproic_acid: requires lab monitoring.
AI-generated DRAFT - rules-based, no medical recommendation is final until the reviewing physician approves it.</t>
  </si>
  <si>
    <t>E5</t>
  </si>
  <si>
    <t>seizure-free + word_finding (small)</t>
  </si>
  <si>
    <t>AI MEDICATION ASSISTANT - Between-Visit Summary (draft for review)
Patient E5 · 10 yr · 32 kg · Medication: Lacosamide
What the family reported
  • Medication use: almost never misses a dose
  • Current dose: 250 mg x 2/day = 500 mg/day
  • Seizures: none reported this interval
  • Side effects: word-finding trouble - overall manageable but unwanted
      impact on daily life: a small impact
  • Dose status: still increasing
  • Family preference: no strong preference (defers to the team)
Suggested next step
  Keep the current dose (no change)
  Reason: No seizures; side effects low/none (L0-L1) -&gt; continue the current plan.
  Recommended follow-up: schedule another digital check-in in ~4 week(s).
  Why this is suggested:
    - Seizure-free; action taken from Dr. Barbour's 2026-06-25 No-Seizures table by phase x side-effect level (DRAFT, verified:false).
AI-generated DRAFT - rules-based, no medical recommendation is final until the reviewing physician approves it.</t>
  </si>
  <si>
    <t>E6</t>
  </si>
  <si>
    <t>seizure-free + irritability (medium_big)</t>
  </si>
  <si>
    <t>irritability (difficult but tolerable)</t>
  </si>
  <si>
    <t>AI MEDICATION ASSISTANT - Between-Visit Summary (draft for review)
Patient E6 · 11 yr · 36 kg · Medication: Clobazam
What the family reported
  • Medication use: almost never misses a dose
  • Current dose: 250 mg x 2/day = 500 mg/day
  • Seizures: none reported this interval
  • Side effects: irritability - overall manageable but unwanted
      impact on daily life: a lot of impact (still tolerable)
  • Dose status: still increasing
  • Family preference: no strong preference (defers to the team)
Suggested next step
  Keep the current dose (no change)
  Reason: Seizure-free + tolerable side effects -&gt; no change; reassess soon.
  Recommended follow-up: schedule another digital check-in in ~1 week(s).
  Why this is suggested:
    - Seizure-free with manageable/difficult-but-tolerable side effects - no medication change; reassess whether the side effect eases as the body adjusts.
AI-generated DRAFT - rules-based, no medical recommendation is final until the reviewing physician approves it.</t>
  </si>
  <si>
    <t>Thank you for the update on your child.
Based on your answers, your care team may suggest keeping the clobazam the same for now. Please continue as prescribed.
We'd like to check in again with a short online update in about 1 weeks.
Please do not change the medicine before hearing from the team. 
- [physician name]
[DRAFT - physician review required before sending]</t>
  </si>
  <si>
    <t>F1</t>
  </si>
  <si>
    <t>F</t>
  </si>
  <si>
    <t>seizure-free + intolerable dizziness, at goal, wants change</t>
  </si>
  <si>
    <t>Seizure-free + intolerable side effects -&gt; switch.</t>
  </si>
  <si>
    <t>AI MEDICATION ASSISTANT - Between-Visit Summary (draft for review)
Patient F1 · 12 yr · 40 kg · Medication: Levetiracetam
What the family reported
  • Medication use: almost never misses a dose
  • Current dose: 250 mg x 2/day = 500 mg/day
  • Seizures: none reported this interval
  • Side effects: dizziness - overall intolerable
      impact on daily life: a big impact - family would like a change
  • Dose status: at goal (at the goal dose)
  • Family preference: no strong preference (defers to the team)
Suggested next step
  Consider switching to a different medicine
  Reason: Seizure-free + intolerable side effects -&gt; switch.
  Switch target: for the physician to choose (no chart-approved option). A switch-candidate menu is a planned feature.
  Why this is suggested:
    - Seizure-free but intolerable side effects - switch.
AI-generated DRAFT - rules-based, no medical recommendation is final until the reviewing physician approves it.</t>
  </si>
  <si>
    <t>F2</t>
  </si>
  <si>
    <t>seizure-free + intolerable behavior_change, at goal, wants change</t>
  </si>
  <si>
    <t>AI MEDICATION ASSISTANT - Between-Visit Summary (draft for review)
Patient F2 · 14 yr · 50 kg · Medication: Oxcarbazepine
What the family reported
  • Medication use: almost never misses a dose
  • Current dose: 250 mg x 2/day = 500 mg/day
  • Seizures: none reported this interval
  • Side effects: behavior change - overall intolerable
      impact on daily life: a big impact - family would like a change
  • Dose status: at goal (at the goal dose)
  • Family preference: no strong preference (defers to the team)
Suggested next step
  Consider switching to a different medicine
  Reason: Seizure-free + intolerable side effects -&gt; switch.
  Switch target: for the physician to choose (no chart-approved option). A switch-candidate menu is a planned feature.
  Do NOT switch to: carbamazepine (already tried, or a worse-tolerated option).
  Why this is suggested:
    - Seizure-free but intolerable side effects - switch.
  ⚠ oxcarbazepine: consider HLA-B*1502 screening before/around use (higher SJS/TEN risk in patients of Southeast/East Asian ancestry).
AI-generated DRAFT - rules-based, no medical recommendation is final until the reviewing physician approves it.</t>
  </si>
  <si>
    <t>F3</t>
  </si>
  <si>
    <t>seizure-free + intolerable mood, at goal, wants change</t>
  </si>
  <si>
    <t>AI MEDICATION ASSISTANT - Between-Visit Summary (draft for review)
Patient F3 · 10 yr · 32 kg · Medication: Lamotrigine
What the family reported
  • Medication use: almost never misses a dose
  • Current dose: 250 mg x 2/day = 500 mg/day
  • Seizures: none reported this interval
  • Side effects: mood changes - overall intolerable
      impact on daily life: a big impact - family would like a change
  • Dose status: at goal (at the goal dose)
  • Family preference: no strong preference (defers to the team)
Suggested next step
  Consider switching to a different medicine
  Reason: Seizure-free + intolerable side effects -&gt; switch.
  Switch target: for the physician to choose (no chart-approved option). A switch-candidate menu is a planned feature.
  Why this is suggested:
    - Seizure-free but intolerable side effects - switch.
AI-generated DRAFT - rules-based, no medical recommendation is final until the reviewing physician approves it.</t>
  </si>
  <si>
    <t>F4</t>
  </si>
  <si>
    <t>seizure-free + intolerable irritability, at goal, wants change</t>
  </si>
  <si>
    <t>AI MEDICATION ASSISTANT - Between-Visit Summary (draft for review)
Patient F4 · 12 yr · 40 kg · Medication: Valproic Acid
What the family reported
  • Medication use: almost never misses a dose
  • Current dose: 250 mg x 2/day = 500 mg/day
  • Seizures: none reported this interval
  • Side effects: irritability - overall intolerable
      impact on daily life: a big impact - family would like a change
  • Dose status: at goal (at the goal dose)
  • Family preference: no strong preference (defers to the team)
Suggested next step
  Consider switching to a different medicine
  Reason: Seizure-free + intolerable side effects -&gt; switch.
  Switch target: for the physician to choose (no chart-approved option). A switch-candidate menu is a planned feature.
  Why this is suggested:
    - Seizure-free but intolerable side effects - switch.
  ⚠ valproic_acid: requires lab monitoring.
AI-generated DRAFT - rules-based, no medical recommendation is final until the reviewing physician approves it.</t>
  </si>
  <si>
    <t>F5</t>
  </si>
  <si>
    <t>seizure-free + intolerable word_finding, at goal, wants change</t>
  </si>
  <si>
    <t>AI MEDICATION ASSISTANT - Between-Visit Summary (draft for review)
Patient F5 · 16 yr · 60 kg · Medication: Lacosamide
What the family reported
  • Medication use: almost never misses a dose
  • Current dose: 250 mg x 2/day = 500 mg/day
  • Seizures: none reported this interval
  • Side effects: word-finding trouble - overall intolerable
      impact on daily life: a big impact - family would like a change
  • Dose status: at goal (at the goal dose)
  • Family preference: no strong preference (defers to the team)
Suggested next step
  Consider switching to a different medicine
  Reason: Seizure-free + intolerable side effects -&gt; switch.
  Switch target: for the physician to choose (no chart-approved option). A switch-candidate menu is a planned feature.
  Why this is suggested:
    - Seizure-free but intolerable side effects - switch.
AI-generated DRAFT - rules-based, no medical recommendation is final until the reviewing physician approves it.</t>
  </si>
  <si>
    <t>G1</t>
  </si>
  <si>
    <t>G</t>
  </si>
  <si>
    <t>seizure-free, at goal, no SE</t>
  </si>
  <si>
    <t>AI MEDICATION ASSISTANT - Between-Visit Summary (draft for review)
Patient G1 · 15 yr · 55 kg · Medication: Levetiracetam
What the family reported
  • Medication use: almost never misses a dose
  • Current dose: 250 mg x 2/day = 500 mg/day
  • Seizures: none reported this interval
  • Side effects: none reported
  • Dose status: at goal (at the goal dose)
  • Family preference: no strong preference (defers to the team)
Suggested next step
  Keep the current dose (no change)
  Reason: Seizure-free, no side effects -&gt; no change (continue plan).
  Why this is suggested:
    - Seizure-free with no side effects - no medication change. Continue the current plan; if still titrating, recheck on schedule.
AI-generated DRAFT - rules-based, no medical recommendation is final until the reviewing physician approves it.</t>
  </si>
  <si>
    <t>Thank you for the update on your child.
Based on your answers, your care team may suggest keeping the levetiracetam the same for now. Please continue as prescribed.
Please do not change the medicine before hearing from the team. 
- [physician name]
[DRAFT - physician review required before sending]</t>
  </si>
  <si>
    <t>G2</t>
  </si>
  <si>
    <t>AI MEDICATION ASSISTANT - Between-Visit Summary (draft for review)
Patient G2 · 16 yr · 60 kg · Medication: Oxcarbazepine
What the family reported
  • Medication use: almost never misses a dose
  • Current dose: 250 mg x 2/day = 500 mg/day
  • Seizures: none reported this interval
  • Side effects: none reported
  • Dose status: at goal (at the goal dose)
  • Family preference: no strong preference (defers to the team)
Suggested next step
  Keep the current dose (no change)
  Reason: Seizure-free, no side effects -&gt; no change (continue plan).
  Do NOT switch to: carbamazepine (already tried, or a worse-tolerated option).
  Why this is suggested:
    - Seizure-free with no side effects - no medication change. Continue the current plan; if still titrating, recheck on schedule.
  ⚠ oxcarbazepine: consider HLA-B*1502 screening before/around use (higher SJS/TEN risk in patients of Southeast/East Asian ancestry).
AI-generated DRAFT - rules-based, no medical recommendation is final until the reviewing physician approves it.</t>
  </si>
  <si>
    <t>Thank you for the update on your child.
Based on your answers, your care team may suggest keeping the oxcarbazepine the same for now. Please continue as prescribed.
Please do not change the medicine before hearing from the team. 
- [physician name]
[DRAFT - physician review required before sending]</t>
  </si>
  <si>
    <t>G3</t>
  </si>
  <si>
    <t>AI MEDICATION ASSISTANT - Between-Visit Summary (draft for review)
Patient G3 · 7 yr · 23 kg · Medication: Lamotrigine
What the family reported
  • Medication use: almost never misses a dose
  • Current dose: 250 mg x 2/day = 500 mg/day
  • Seizures: none reported this interval
  • Side effects: none reported
  • Dose status: at goal (at the goal dose)
  • Family preference: no strong preference (defers to the team)
Suggested next step
  Keep the current dose (no change)
  Reason: Seizure-free, no side effects -&gt; no change (continue plan).
  Why this is suggested:
    - Seizure-free with no side effects - no medication change. Continue the current plan; if still titrating, recheck on schedule.
AI-generated DRAFT - rules-based, no medical recommendation is final until the reviewing physician approves it.</t>
  </si>
  <si>
    <t>Thank you for the update on your child.
Based on your answers, your care team may suggest keeping the lamotrigine the same for now. Please continue as prescribed.
Please do not change the medicine before hearing from the team. 
- [physician name]
[DRAFT - physician review required before sending]</t>
  </si>
  <si>
    <t>G4</t>
  </si>
  <si>
    <t>AI MEDICATION ASSISTANT - Between-Visit Summary (draft for review)
Patient G4 · 8 yr · 26 kg · Medication: Valproic Acid
What the family reported
  • Medication use: almost never misses a dose
  • Current dose: 250 mg x 2/day = 500 mg/day
  • Seizures: none reported this interval
  • Side effects: none reported
  • Dose status: at goal (at the goal dose)
  • Family preference: no strong preference (defers to the team)
Suggested next step
  Keep the current dose (no change)
  Reason: Seizure-free, no side effects -&gt; no change (continue plan).
  Why this is suggested:
    - Seizure-free with no side effects - no medication change. Continue the current plan; if still titrating, recheck on schedule.
  ⚠ valproic_acid: requires lab monitoring.
AI-generated DRAFT - rules-based, no medical recommendation is final until the reviewing physician approves it.</t>
  </si>
  <si>
    <t>Thank you for the update on your child.
Based on your answers, your care team may suggest keeping the valproic_acid the same for now. Please continue as prescribed.
Please do not change the medicine before hearing from the team. 
- [physician name]
[DRAFT - physician review required before sending]</t>
  </si>
  <si>
    <t>G5</t>
  </si>
  <si>
    <t>AI MEDICATION ASSISTANT - Between-Visit Summary (draft for review)
Patient G5 · 9 yr · 29 kg · Medication: Lacosamide
What the family reported
  • Medication use: almost never misses a dose
  • Current dose: 250 mg x 2/day = 500 mg/day
  • Seizures: none reported this interval
  • Side effects: none reported
  • Dose status: at goal (at the goal dose)
  • Family preference: no strong preference (defers to the team)
Suggested next step
  Keep the current dose (no change)
  Reason: Seizure-free, no side effects -&gt; no change (continue plan).
  Why this is suggested:
    - Seizure-free with no side effects - no medication change. Continue the current plan; if still titrating, recheck on schedule.
AI-generated DRAFT - rules-based, no medical recommendation is final until the reviewing physician approves it.</t>
  </si>
  <si>
    <t>Thank you for the update on your child.
Based on your answers, your care team may suggest keeping the lacosamide the same for now. Please continue as prescribed.
Please do not change the medicine before hearing from the team. 
- [physician name]
[DRAFT - physician review required before sending]</t>
  </si>
  <si>
    <t>H1</t>
  </si>
  <si>
    <t>H</t>
  </si>
  <si>
    <t>small localized rash (SJS workup)</t>
  </si>
  <si>
    <t>rash; rash=small</t>
  </si>
  <si>
    <t>rash: small</t>
  </si>
  <si>
    <t>Small rash + SJS-risk workup criterion -&gt; switch.</t>
  </si>
  <si>
    <t>AI MEDICATION ASSISTANT - Between-Visit Summary (draft for review)
Patient H1 · 7 yr · 23 kg · Medication: Lamotrigine
What the family reported
  • Medication use: almost never misses a dose
  • Current dose: 250 mg x 2/day = 500 mg/day
  • Seizures: none reported this interval
  • Side effects: rash - overall manageable but unwanted
      rash: small / localized rash
  • Dose status: still increasing
  • Family preference: no strong preference (defers to the team)
Suggested next step
  Consider switching to a different medicine
  Reason: Small rash + SJS-risk workup criterion -&gt; switch.
  Switch target: for the physician to choose (no chart-approved option). A switch-candidate menu is a planned feature.
  Why this is suggested:
    - Small rash on lamotrigine (serious-rash risk) plus a workup criterion (ancestry / other meds / missed doses / time on med / no viral illness) - switch.
  ⚠ Small rash on an SJS-risk drug met a switch criterion (theme T11).
AI-generated DRAFT - rules-based, no medical recommendation is final until the reviewing physician approves it.</t>
  </si>
  <si>
    <t>H2</t>
  </si>
  <si>
    <t>LARGE spreading rash -&gt; urgent stop+switch</t>
  </si>
  <si>
    <t>rash; rash=large</t>
  </si>
  <si>
    <t>rash: large</t>
  </si>
  <si>
    <t>Stop + switch: spreading/blistering rash (possible SJS/TEN).</t>
  </si>
  <si>
    <t>AI MEDICATION ASSISTANT - Between-Visit Summary (draft for review)
Patient H2 · 8 yr · 26 kg · Medication: Lamotrigine
What the family reported
  • Medication use: almost never misses a dose
  • Current dose: 250 mg x 2/day = 500 mg/day
  • Seizures: none reported this interval
  • Side effects: rash - overall manageable but unwanted
      rash: large rash
  • Dose status: still increasing
  • Family preference: no strong preference (defers to the team)
Suggested next step
  Consider switching to a different medicine
  Reason: Stop + switch: spreading/blistering rash (possible SJS/TEN).
  Switch target: for the physician to choose (no chart-approved option). A switch-candidate menu is a planned feature.
  Why this is suggested:
    - Spreading/blistering rash reported - serious skin reaction (SJS/TEN) concern. Stop the medication and switch; urgent physician review.
Safety
  An urgent safety concern was flagged - a physician must review right away, and no message goes to the family automatically.
  • Possible serious skin reaction (SJS/TEN) - urgent
AI-generated DRAFT - rules-based, no medical recommendation is final until the reviewing physician approves it.</t>
  </si>
  <si>
    <t>H3</t>
  </si>
  <si>
    <t>blistering rash -&gt; urgent stop+switch</t>
  </si>
  <si>
    <t>rash; rash=blisters</t>
  </si>
  <si>
    <t>rash: blisters</t>
  </si>
  <si>
    <t>AI MEDICATION ASSISTANT - Between-Visit Summary (draft for review)
Patient H3 · 9 yr · 29 kg · Medication: Carbamazepine
What the family reported
  • Medication use: almost never misses a dose
  • Current dose: 250 mg x 2/day = 500 mg/day
  • Seizures: none reported this interval
  • Side effects: rash - overall manageable but unwanted
      rash: spreading or blistering rash
  • Dose status: still increasing
  • Family preference: no strong preference (defers to the team)
Suggested next step
  Consider switching to a different medicine
  Reason: Stop + switch: spreading/blistering rash (possible SJS/TEN).
  Switch target: for the physician to choose (no chart-approved option). A switch-candidate menu is a planned feature.
  Why this is suggested:
    - Spreading/blistering rash reported - serious skin reaction (SJS/TEN) concern. Stop the medication and switch; urgent physician review.
  ⚠ carbamazepine: requires lab monitoring.
  ⚠ carbamazepine: consider HLA-B*1502 screening before/around use (higher SJS/TEN risk in patients of Southeast/East Asian ancestry).
Safety
  An urgent safety concern was flagged - a physician must review right away, and no message goes to the family automatically.
  • Possible serious skin reaction (SJS/TEN) - urgent
AI-generated DRAFT - rules-based, no medical recommendation is final until the reviewing physician approves it.</t>
  </si>
  <si>
    <t>H4</t>
  </si>
  <si>
    <t>seizure &gt;5 min urgent, med helping</t>
  </si>
  <si>
    <t>seizure_over_5_min</t>
  </si>
  <si>
    <t>Urgent: prolonged/repeated seizures; if med has helped, increase faster.</t>
  </si>
  <si>
    <t>AI MEDICATION ASSISTANT - Between-Visit Summary (draft for review)
Patient H4 · 10 yr · 32 kg · Medication: Levetiracetam
What the family reported
  • Medication use: almost never misses a dose
  • Current dose: 250 mg x 2/day = 500 mg/day
  • Seizures: breakthrough seizures reported - 1 per week; type(s): whole-body shaking or stiffening
  • Side effects: none reported
  • Dose status: still increasing
  • Overall, the family feels things are: better
  • Family preference: no strong preference (defers to the team)
Suggested next step
  Increase the dose - FASTER than the standard cadence
  Reason: Urgent: prolonged/repeated seizures; if med has helped, increase faster.
  Why this is suggested:
    - Prolonged/repeated seizures reported - urgent physician review. If the medicine has been helping, increase faster toward the goal dose.
Safety
  An urgent safety concern was flagged - a physician must review right away, and no message goes to the family automatically.
  • Seizure lasting longer than 5 minutes - urgent
AI-generated DRAFT - rules-based, no medical recommendation is final until the reviewing physician approves it.</t>
  </si>
  <si>
    <t>H5</t>
  </si>
  <si>
    <t>repeated seizures / cluster urgent</t>
  </si>
  <si>
    <t>Breakthrough | type: whole_body | 2/week</t>
  </si>
  <si>
    <t>repeated_seizures</t>
  </si>
  <si>
    <t>AI MEDICATION ASSISTANT - Between-Visit Summary (draft for review)
Patient H5 · 6 yr · 20 kg · Medication: Valproic Acid
What the family reported
  • Medication use: almost never misses a dose
  • Current dose: 250 mg x 2/day = 500 mg/day
  • Seizures: breakthrough seizures reported - 2 per week; type(s): whole-body shaking or stiffening
  • Side effects: none reported
  • Dose status: still increasing
  • Overall, the family feels things are: better
  • Family preference: no strong preference (defers to the team)
Suggested next step
  Increase the dose - FASTER than the standard cadence
  Reason: Urgent: prolonged/repeated seizures; if med has helped, increase faster.
  Why this is suggested:
    - Prolonged/repeated seizures reported - urgent physician review. If the medicine has been helping, increase faster toward the goal dose.
  ⚠ valproic_acid: requires lab monitoring.
Safety
  An urgent safety concern was flagged - a physician must review right away, and no message goes to the family automatically.
  • Repeated seizures without recovery - urgent
AI-generated DRAFT - rules-based, no medical recommendation is final until the reviewing physician approves it.</t>
  </si>
  <si>
    <t>H6</t>
  </si>
  <si>
    <t>ER visit + widespread rash</t>
  </si>
  <si>
    <t>er_visit; rash: large</t>
  </si>
  <si>
    <t>AI MEDICATION ASSISTANT - Between-Visit Summary (draft for review)
Patient H6 · 11 yr · 36 kg · Medication: Oxcarbazepine
What the family reported
  • Medication use: almost never misses a dose
  • Current dose: 250 mg x 2/day = 500 mg/day
  • Seizures: none reported this interval
  • Side effects: rash - overall manageable but unwanted
      rash: large rash
  • Dose status: still increasing
  • Family preference: no strong preference (defers to the team)
Suggested next step
  Consider switching to a different medicine
  Reason: Stop + switch: spreading/blistering rash (possible SJS/TEN).
  Switch target: for the physician to choose (no chart-approved option). A switch-candidate menu is a planned feature.
  Do NOT switch to: carbamazepine (already tried, or a worse-tolerated option).
  Why this is suggested:
    - Spreading/blistering rash reported - serious skin reaction (SJS/TEN) concern. Stop the medication and switch; urgent physician review.
  ⚠ oxcarbazepine: consider HLA-B*1502 screening before/around use (higher SJS/TEN risk in patients of Southeast/East Asian ancestry).
Safety
  An urgent safety concern was flagged - a physician must review right away, and no message goes to the family automatically.
  • Recent ER or hospital visit
  • Possible serious skin reaction (SJS/TEN) - urgent
AI-generated DRAFT - rules-based, no medical recommendation is final until the reviewing physician approves it.</t>
  </si>
  <si>
    <t>H7</t>
  </si>
  <si>
    <t>whole-body seizure &gt;3 min (danger)</t>
  </si>
  <si>
    <t>Breakthrough | type: whole_body | whole_body over_3min 1/week</t>
  </si>
  <si>
    <t>AI MEDICATION ASSISTANT - Between-Visit Summary (draft for review)
Patient H7 · 12 yr · 40 kg · Medication: Lamotrigine
What the family reported
  • Medication use: almost never misses a dose
  • Current dose: 250 mg x 2/day = 500 mg/day
  • Seizures: breakthrough seizures reported - number not given; type(s): whole-body shaking or stiffening
  • Side effects: none reported
  • Dose status: still increasing
  • Family preference: no strong preference (defers to the team)
Suggested next step
  Increase the dose - FASTER than the standard cadence
  Reason: Urgent: prolonged/repeated seizures; if med has helped, increase faster.
  Why this is suggested:
    - Prolonged/repeated seizures reported - urgent physician review. If the medicine has been helping, increase faster toward the goal dose.
Safety
  An urgent safety concern was flagged - a physician must review right away, and no message goes to the family automatically.
  • Whole-body (generalized) seizure lasting longer than 3 minutes - urgent
AI-generated DRAFT - rules-based, no medical recommendation is final until the reviewing physician approves it.</t>
  </si>
  <si>
    <t>H8</t>
  </si>
  <si>
    <t>whole-body seizure &gt;5 min emergent</t>
  </si>
  <si>
    <t>Breakthrough | type: whole_body | whole_body over_5min 1/week</t>
  </si>
  <si>
    <t>AI MEDICATION ASSISTANT - Between-Visit Summary (draft for review)
Patient H8 · 13 yr · 45 kg · Medication: Topiramate
What the family reported
  • Medication use: almost never misses a dose
  • Current dose: 250 mg x 2/day = 500 mg/day
  • Seizures: breakthrough seizures reported - number not given; type(s): whole-body shaking or stiffening
  • Side effects: none reported
  • Dose status: still increasing
  • Family preference: no strong preference (defers to the team)
Suggested next step
  Increase the dose - FASTER than the standard cadence
  Reason: Urgent: prolonged/repeated seizures; if med has helped, increase faster.
  Why this is suggested:
    - Prolonged/repeated seizures reported - urgent physician review. If the medicine has been helping, increase faster toward the goal dose.
Safety
  An urgent safety concern was flagged - a physician must review right away, and no message goes to the family automatically.
  • Whole-body (generalized) seizure lasting longer than 3 minutes - urgent
AI-generated DRAFT - rules-based, no medical recommendation is final until the reviewing physician approves it.</t>
  </si>
  <si>
    <t>I1</t>
  </si>
  <si>
    <t>I</t>
  </si>
  <si>
    <t>seizure-free, goal not sure</t>
  </si>
  <si>
    <t>Not sure</t>
  </si>
  <si>
    <t>AI MEDICATION ASSISTANT - Between-Visit Summary (draft for review)
Patient I1 · 5 yr · 18 kg · Medication: Clobazam
What the family reported
  • Medication use: almost never misses a dose
  • Current dose: 250 mg x 2/day = 500 mg/day
  • Seizures: none reported this interval
  • Side effects: none reported
  • Dose status: not sure
  • Family preference: no strong preference (defers to the team)
Suggested next step
  Keep the current dose (no change)
  Reason: Seizure-free, no side effects -&gt; no change (continue plan).
  Why this is suggested:
    - Seizure-free with no side effects - no medication change. Continue the current plan; if still titrating, recheck on schedule.
AI-generated DRAFT - rules-based, no medical recommendation is final until the reviewing physician approves it.</t>
  </si>
  <si>
    <t>Thank you for the update on your child.
Based on your answers, your care team may suggest keeping the clobazam the same for now. Please continue as prescribed.
Please do not change the medicine before hearing from the team. 
- [physician name]
[DRAFT - physician review required before sending]</t>
  </si>
  <si>
    <t>I2</t>
  </si>
  <si>
    <t>seizure-free, goal + overall not sure</t>
  </si>
  <si>
    <t>AI MEDICATION ASSISTANT - Between-Visit Summary (draft for review)
Patient I2 · 11 yr · 36 kg · Medication: Lamotrigine
What the family reported
  • Medication use: almost never misses a dose
  • Current dose: 250 mg x 2/day = 500 mg/day
  • Seizures: none reported this interval
  • Side effects: none reported
  • Dose status: not sure
  • Overall, the family feels things are: not sure
  • Family preference: no strong preference (defers to the team)
Suggested next step
  Keep the current dose (no change)
  Reason: Seizure-free, no side effects -&gt; no change (continue plan).
  Why this is suggested:
    - Seizure-free with no side effects - no medication change. Continue the current plan; if still titrating, recheck on schedule.
AI-generated DRAFT - rules-based, no medical recommendation is final until the reviewing physician approves it.</t>
  </si>
  <si>
    <t>I3</t>
  </si>
  <si>
    <t>AI MEDICATION ASSISTANT - Between-Visit Summary (draft for review)
Patient I3 · 11 yr · 36 kg · Medication: Zonisamide
What the family reported
  • Medication use: almost never misses a dose
  • Current dose: 250 mg x 2/day = 500 mg/day
  • Seizures: none reported this interval
  • Side effects: none reported
  • Dose status: not sure
  • Family preference: no strong preference (defers to the team)
Suggested next step
  Keep the current dose (no change)
  Reason: Seizure-free, no side effects -&gt; no change (continue plan).
  Why this is suggested:
    - Seizure-free with no side effects - no medication change. Continue the current plan; if still titrating, recheck on schedule.
AI-generated DRAFT - rules-based, no medical recommendation is final until the reviewing physician approves it.</t>
  </si>
  <si>
    <t>Thank you for the update on your child.
Based on your answers, your care team may suggest keeping the zonisamide the same for now. Please continue as prescribed.
Please do not change the medicine before hearing from the team. 
- [physician name]
[DRAFT - physician review required before sending]</t>
  </si>
  <si>
    <t>I4</t>
  </si>
  <si>
    <t>dose recently changed + ongoing seizures</t>
  </si>
  <si>
    <t>Breakthrough | type: focal | 1/week</t>
  </si>
  <si>
    <t>Dose changed + ongoing seizures -&gt; confirm regimen; contact clinic.</t>
  </si>
  <si>
    <t>AI MEDICATION ASSISTANT - Between-Visit Summary (draft for review)
Patient I4 · 8 yr · 26 kg · Medication: Levetiracetam
What the family reported
  • Medication use: almost never misses a dose
  • Current dose: 250 mg x 2/day = 500 mg/day
  • Seizures: breakthrough seizures reported - 1 per week; type(s): one part of the body shaking or twitching
  • Side effects: none reported
  • Dose status: not sure
  • Family preference: no strong preference (defers to the team)
Suggested next step
  Needs clinician review - not enough information to suggest a change
  Reason: Dose changed + ongoing seizures -&gt; confirm regimen; contact clinic.
  Why this is suggested:
    - The dose was recently changed and seizures continue - confirm the current regimen (take as prescribed) and contact the clinic; not enough information to recommend a change.
AI-generated DRAFT - rules-based, no medical recommendation is final until the reviewing physician approves it.</t>
  </si>
  <si>
    <t>I5</t>
  </si>
  <si>
    <t>breakthrough type/freq unspecified, titrating</t>
  </si>
  <si>
    <t>Breakthrough | freq/duration not given</t>
  </si>
  <si>
    <t>AI MEDICATION ASSISTANT - Between-Visit Summary (draft for review)
Patient I5 · 12 yr · 40 kg · Medication: Topiramate
What the family reported
  • Medication use: almost never misses a dose
  • Current dose: 250 mg x 2/day = 500 mg/day
  • Seizures: breakthrough seizures reported - number not given
  • Side effects: none reported
  • Dose status: still increasing
  • Family preference: no strong preference (defers to the team)
Suggested next step
  Needs clinician review - not enough information to suggest a change
  Reason: Need seizure duration to decide continue vs increase faster.
  Why this is suggested:
    - Breakthrough seizures but their DURATION was not captured - cannot decide continue-vs-increase-faster. Need seizure duration (how long each one lasts).
AI-generated DRAFT - rules-based, no medical recommendation is final until the reviewing physician approves it.</t>
  </si>
  <si>
    <t>J1</t>
  </si>
  <si>
    <t>J</t>
  </si>
  <si>
    <t>focal seizures on absence-only drug -&gt; mismatch</t>
  </si>
  <si>
    <t>Ethosuximide</t>
  </si>
  <si>
    <t>Drug not indicated for the reported seizure type -&gt; switch.</t>
  </si>
  <si>
    <t>AI MEDICATION ASSISTANT - Between-Visit Summary (draft for review)
Patient J1 · 7 yr · 23 kg · Medication: Ethosuximide
What the family reported
  • Medication use: almost never misses a dose
  • Current dose: 250 mg x 2/day = 500 mg/day
  • Seizures: breakthrough seizures reported - 2 per week; type(s): one part of the body shaking or twitching
  • Side effects: none reported
  • Dose status: still increasing
  • Family preference: no strong preference (defers to the team)
Suggested next step
  Consider switching to a different medicine
  Reason: Drug not indicated for the reported seizure type -&gt; switch.
  Switch target: for the physician to choose (no chart-approved option). A switch-candidate menu is a planned feature.
  Why this is suggested:
    - ethosuximide does not cover the reported seizure type (e.g. ethosuximide treats absence/staring seizures only) - switch.
AI-generated DRAFT - rules-based, no medical recommendation is final until the reviewing physician approves it.</t>
  </si>
  <si>
    <t>Thank you for the update on your child.
Based on your answers, your care team may discuss trying a different medicine instead of ethosuximide. They will be in touch.
Please do not change the medicine before hearing from the team. 
- [physician name]
[DRAFT - physician review required before sending]</t>
  </si>
  <si>
    <t>J2</t>
  </si>
  <si>
    <t>myoclonic jerks on lamotrigine (may worsen)</t>
  </si>
  <si>
    <t>Breakthrough | type: sudden_jerks | sudden_jerks under_1min 2/week</t>
  </si>
  <si>
    <t>AI MEDICATION ASSISTANT - Between-Visit Summary (draft for review)
Patient J2 · 9 yr · 29 kg · Medication: Lamotrigine
What the family reported
  • Medication use: almost never misses a dose
  • Current dose: 250 mg x 2/day = 500 mg/day
  • Seizures: breakthrough seizures reported - number not given; type(s): quick jerks
  • Side effects: none reported
  • Dose status: still increasing
  • Family preference: no strong preference (defers to the team)
Suggested next step
  Keep the current dose (no change)
  Reason: Short/infrequent breakthrough while titrating -&gt; continue plan.
  Recommended follow-up: schedule another digital check-in in ~4 week(s).
  Why this is suggested:
    - Breakthrough seizures are short and/or infrequent while still titrating - continue the current plan (no change), keep increasing toward goal as scheduled.
  ⚠ lamotrigine: relative contraindication for the reported seizure type (e.g. lamotrigine may worsen myoclonic seizures).
AI-generated DRAFT - rules-based, no medical recommendation is final until the reviewing physician approves it.</t>
  </si>
  <si>
    <t>J3</t>
  </si>
  <si>
    <t>LEV + behavioral comorbidity (aggression)</t>
  </si>
  <si>
    <t>behavior_change, irritability (intolerable, wants change)</t>
  </si>
  <si>
    <t>AI MEDICATION ASSISTANT - Between-Visit Summary (draft for review)
Patient J3 · 7 yr · 23 kg · Medication: Levetiracetam
What the family reported
  • Medication use: almost never misses a dose
  • Current dose: 250 mg x 2/day = 500 mg/day
  • Seizures: none reported this interval
  • Side effects: behavior change, irritability - overall intolerable
      impact on daily life: a big impact - family would like a change
  • Dose status: at goal (at the goal dose)
  • Family preference: no strong preference (defers to the team)
Suggested next step
  Consider switching to a different medicine
  Reason: Seizure-free + intolerable side effects -&gt; switch.
  Switch target: for the physician to choose (no chart-approved option). A switch-candidate menu is a planned feature.
  Why this is suggested:
    - Seizure-free but intolerable side effects - switch.
  ⚠ levetiracetam: caution with this patient's behavioral comorbidity (e.g. levetiracetam and irritability/aggression).
AI-generated DRAFT - rules-based, no medical recommendation is final until the reviewing physician approves it.</t>
  </si>
  <si>
    <t>J4</t>
  </si>
  <si>
    <t>seizure-free titrating, on valproate (slow titration)</t>
  </si>
  <si>
    <t>AI MEDICATION ASSISTANT - Between-Visit Summary (draft for review)
Patient J4 · 9 yr · 29 kg · Medication: Lamotrigine
What the family reported
  • Medication use: almost never misses a dose
  • Current dose: 250 mg x 2/day = 500 mg/day
  • Seizures: none reported this interval
  • Side effects: none reported
  • Dose status: still increasing
  • Family preference: no strong preference (defers to the team)
Suggested next step
  Keep the current dose (no change)
  Reason: Seizure-free, no side effects -&gt; no change (continue plan).
  Recommended follow-up: schedule another digital check-in in ~4 week(s).
  Why this is suggested:
    - Seizure-free with no side effects - no medication change. Continue the current plan; if still titrating, recheck on schedule.
AI-generated DRAFT - rules-based, no medical recommendation is final until the reviewing physician approves it.</t>
  </si>
  <si>
    <t>J5</t>
  </si>
  <si>
    <t>breakthrough, prior meds limit switch targets</t>
  </si>
  <si>
    <t>Breakthrough | type: focal | freq/duration not given</t>
  </si>
  <si>
    <t>AI MEDICATION ASSISTANT - Between-Visit Summary (draft for review)
Patient J5 · 14 yr · 50 kg · Medication: Levetiracetam
What the family reported
  • Medication use: almost never misses a dose
  • Current dose: 250 mg x 2/day = 500 mg/day
  • Seizures: breakthrough seizures reported - number not given; type(s): one part of the body shaking or twitching
  • Side effects: irritability - overall intolerable
      impact on daily life: a big impact - family would like a change
  • Dose status: still increasing
  • Family preference: no strong preference (defers to the team)
Suggested next step
  Consider switching to a different medicine
  Reason: Breakthrough + intolerable side effects -&gt; switch.
  Switch target: for the physician to choose (no chart-approved option). A switch-candidate menu is a planned feature.
  Do NOT switch to: lamotrigine, oxcarbazepine (already tried, or a worse-tolerated option).
  Why this is suggested:
    - Breakthrough seizures + intolerable side effects - switch.
AI-generated DRAFT - rules-based, no medical recommendation is final until the reviewing physician approves it.</t>
  </si>
  <si>
    <t>J6</t>
  </si>
  <si>
    <t>absence seizure-free at goal (appropriate)</t>
  </si>
  <si>
    <t>AI MEDICATION ASSISTANT - Between-Visit Summary (draft for review)
Patient J6 · 9 yr · 29 kg · Medication: Ethosuximide
What the family reported
  • Medication use: almost never misses a dose
  • Current dose: 250 mg x 2/day = 500 mg/day
  • Seizures: none reported this interval
  • Side effects: none reported
  • Dose status: at goal (at the goal dose)
  • Family preference: no strong preference (defers to the team)
Suggested next step
  Keep the current dose (no change)
  Reason: Seizure-free, no side effects -&gt; no change (continue plan).
  Why this is suggested:
    - Seizure-free with no side effects - no medication change. Continue the current plan; if still titrating, recheck on schedule.
AI-generated DRAFT - rules-based, no medical recommendation is final until the reviewing physician approves it.</t>
  </si>
  <si>
    <t>Thank you for the update on your child.
Based on your answers, your care team may suggest keeping the ethosuximide the same for now. Please continue as prescribed.
Please do not change the medicine before hearing from the team. 
- [physician name]
[DRAFT - physician review required before sending]</t>
  </si>
  <si>
    <t>K1</t>
  </si>
  <si>
    <t>K</t>
  </si>
  <si>
    <t>seizure-free titrating, family prefers slower</t>
  </si>
  <si>
    <t>Prefers dose change</t>
  </si>
  <si>
    <t>Family prefers slower -&gt; slower uptitration.</t>
  </si>
  <si>
    <t>AI MEDICATION ASSISTANT - Between-Visit Summary (draft for review)
Patient K1 · 10 yr · 32 kg · Medication: Levetiracetam
What the family reported
  • Medication use: almost never misses a dose
  • Current dose: 250 mg x 2/day = 500 mg/day
  • Seizures: none reported this interval
  • Side effects: none reported
  • Dose status: still increasing
  • Family preference: would prefer a slower or changed dose
Suggested next step
  Increase the dose more slowly - more SLOWLY than standard
  Reason: Family prefers slower -&gt; slower uptitration.
  Why this is suggested:
    - Seizure-free, still titrating, family prefers a slower/changed dose - recommend a slower uptitration.
AI-generated DRAFT - rules-based, no medical recommendation is final until the reviewing physician approves it.</t>
  </si>
  <si>
    <t>Thank you for the update on your child.
Based on your answers, your care team may suggest continuing levetiracetam with a slower, gentler increase. They will confirm the plan with you.
Please do not change the medicine before hearing from the team. 
- [physician name]
[DRAFT - physician review required before sending]</t>
  </si>
  <si>
    <t>K2</t>
  </si>
  <si>
    <t>breakthrough titrating, family prefers slower</t>
  </si>
  <si>
    <t>Breakthrough; family prefers slower -&gt; slower uptitration.</t>
  </si>
  <si>
    <t>AI MEDICATION ASSISTANT - Between-Visit Summary (draft for review)
Patient K2 · 6 yr · 20 kg · Medication: Clobazam
What the family reported
  • Medication use: almost never misses a dose
  • Current dose: 250 mg x 2/day = 500 mg/day
  • Seizures: breakthrough seizures reported - number not given; type(s): whole-body shaking or stiffening
  • Side effects: none reported
  • Dose status: still increasing
  • Family preference: would prefer a slower or changed dose
Suggested next step
  Increase the dose more slowly - more SLOWLY than standard
  Reason: Breakthrough; family prefers slower -&gt; slower uptitration.
  Why this is suggested:
    - Breakthrough but the family prefers a slower/changed dose - recommend a slower uptitration.
AI-generated DRAFT - rules-based, no medical recommendation is final until the reviewing physician approves it.</t>
  </si>
  <si>
    <t>Thank you for the update on your child.
Based on your answers, your care team may suggest continuing clobazam with a slower, gentler increase. They will confirm the plan with you.
Please do not change the medicine before hearing from the team. 
- [physician name]
[DRAFT - physician review required before sending]</t>
  </si>
  <si>
    <t>K3</t>
  </si>
  <si>
    <t>seizure-free at goal, family wants different med</t>
  </si>
  <si>
    <t>Wants different med</t>
  </si>
  <si>
    <t>Family requests a different medicine -&gt; offer switch options (physician).</t>
  </si>
  <si>
    <t>AI MEDICATION ASSISTANT - Between-Visit Summary (draft for review)
Patient K3 · 13 yr · 45 kg · Medication: Carbamazepine
What the family reported
  • Medication use: almost never misses a dose
  • Current dose: 250 mg x 2/day = 500 mg/day
  • Seizures: none reported this interval
  • Side effects: none reported
  • Dose status: at goal (at the goal dose)
  • Family preference: would like to try a different medicine
Suggested next step
  Needs clinician review - not enough information to suggest a change
  Reason: Family requests a different medicine -&gt; offer switch options (physician).
  Why this is suggested:
    - Family would like to try a different medicine (no clinical switch trigger) - offer switch options for the physician to discuss.
  ⚠ carbamazepine: requires lab monitoring.
  ⚠ carbamazepine: consider HLA-B*1502 screening before/around use (higher SJS/TEN risk in patients of Southeast/East Asian ancestry).
AI-generated DRAFT - rules-based, no medical recommendation is final until the reviewing physician approves it.</t>
  </si>
  <si>
    <t>K4</t>
  </si>
  <si>
    <t>tolerable cognitive SE, family wants different med</t>
  </si>
  <si>
    <t>word_finding (difficult but tolerable)</t>
  </si>
  <si>
    <t>AI MEDICATION ASSISTANT - Between-Visit Summary (draft for review)
Patient K4 · 13 yr · 45 kg · Medication: Topiramate
What the family reported
  • Medication use: almost never misses a dose
  • Current dose: 250 mg x 2/day = 500 mg/day
  • Seizures: none reported this interval
  • Side effects: word-finding trouble - overall manageable but unwanted
      impact on daily life: a lot of impact (still tolerable)
  • Dose status: still increasing
  • Family preference: would like to try a different medicine
Suggested next step
  Needs clinician review - not enough information to suggest a change
  Reason: Family requests a different medicine -&gt; offer switch options (physician).
  Why this is suggested:
    - Family would like to try a different medicine (no clinical switch trigger) - offer switch options for the physician to discuss.
AI-generated DRAFT - rules-based, no medical recommendation is final until the reviewing physician approves it.</t>
  </si>
  <si>
    <t>K5</t>
  </si>
  <si>
    <t>seizure-free, no strong preference</t>
  </si>
  <si>
    <t>AI MEDICATION ASSISTANT - Between-Visit Summary (draft for review)
Patient K5 · 12 yr · 40 kg · Medication: Zonisamide
What the family reported
  • Medication use: almost never misses a dose
  • Current dose: 250 mg x 2/day = 500 mg/day
  • Seizures: none reported this interval
  • Side effects: none reported
  • Dose status: still increasing
  • Family preference: no strong preference (defers to the team)
Suggested next step
  Keep the current dose (no change)
  Reason: Seizure-free, no side effects -&gt; no change (continue plan).
  Recommended follow-up: schedule another digital check-in in ~4 week(s).
  Why this is suggested:
    - Seizure-free with no side effects - no medication change. Continue the current plan; if still titrating, recheck on schedule.
AI-generated DRAFT - rules-based, no medical recommendation is final until the reviewing physician approves it.</t>
  </si>
  <si>
    <t>Thank you for the update on your child.
Based on your answers, your care team may suggest keeping the zonisamide the same for now. Please continue as prescribed.
We'd like to check in again with a short online update in about 4 weeks.
Please do not change the medicine before hearing from the team. 
- [physician name]
[DRAFT - physician review required before sending]</t>
  </si>
  <si>
    <t>L1</t>
  </si>
  <si>
    <t>L</t>
  </si>
  <si>
    <t>seizure-free, SE level=medium_tolerable</t>
  </si>
  <si>
    <t>sleepiness (medium (tolerable))</t>
  </si>
  <si>
    <t>No seizures; medium-tolerable side effects while titrating (L2) -&gt; slow the dose increases.</t>
  </si>
  <si>
    <t>AI MEDICATION ASSISTANT - Between-Visit Summary (draft for review)
Patient L1 · 10 yr · 32 kg · Medication: Levetiracetam
What the family reported
  • Medication use: almost never misses a dose
  • Current dose: 250 mg x 2/day = 500 mg/day
  • Seizures: none reported this interval
  • Side effects: sleepiness - overall manageable but unwanted
      impact on daily life: a medium impact (noticeable but manageable)
  • Dose status: still increasing
  • Family preference: no strong preference (defers to the team)
Suggested next step
  Increase the dose more slowly - more SLOWLY than standard
  Reason: No seizures; medium-tolerable side effects while titrating (L2) -&gt; slow the dose increases.
  Why this is suggested:
    - Seizure-free; action taken from Dr. Barbour's 2026-06-25 No-Seizures table by phase x side-effect level (DRAFT, verified:false).
AI-generated DRAFT - rules-based, no medical recommendation is final until the reviewing physician approves it.</t>
  </si>
  <si>
    <t>L2</t>
  </si>
  <si>
    <t>seizure-free, SE level=medium_alot</t>
  </si>
  <si>
    <t>sleepiness (medium (a lot))</t>
  </si>
  <si>
    <t>Hold at current dose</t>
  </si>
  <si>
    <t>No seizures; medium-but-significant side effects (L3) -&gt; hold the current dose; follow up; order labs.</t>
  </si>
  <si>
    <t>AI MEDICATION ASSISTANT - Between-Visit Summary (draft for review)
Patient L2 · 11 yr · 36 kg · Medication: Oxcarbazepine
What the family reported
  • Medication use: almost never misses a dose
  • Current dose: 250 mg x 2/day = 500 mg/day
  • Seizures: none reported this interval
  • Side effects: sleepiness - overall manageable but unwanted
      impact on daily life: a medium impact affecting daily life a lot
  • Dose status: at goal (at the goal dose)
  • Family preference: no strong preference (defers to the team)
Suggested next step
  Hold at the current dose (pause increases)
  Reason: No seizures; medium-but-significant side effects (L3) -&gt; hold the current dose; follow up; order labs.
  Do NOT switch to: carbamazepine (already tried, or a worse-tolerated option).
  Recommended follow-up: schedule another digital check-in in ~4 week(s).
  Labs to order (per medication): CBC, CMP, LFTs, oxcarbazepine level.
  Dosing note: Consider uneven (unequal AM/PM) dosing within 30/70-40/60 - eligible medicine.
  Why this is suggested:
    - Seizure-free; action taken from Dr. Barbour's 2026-06-25 No-Seizures table by phase x side-effect level (DRAFT, verified:false).
  ⚠ oxcarbazepine: consider HLA-B*1502 screening before/around use (higher SJS/TEN risk in patients of Southeast/East Asian ancestry).
AI-generated DRAFT - rules-based, no medical recommendation is final until the reviewing physician approves it.</t>
  </si>
  <si>
    <t>Thank you for the update on your child.
Based on your answers, your care team may suggest staying at the current oxcarbazepine dose for now (rather than increasing) while the side effects are watched. They may also order some lab tests and will check in with you.
We'd like to check in again with a short online update in about 4 weeks.
Please do not change the medicine before hearing from the team. 
- [physician name]
[DRAFT - physician review required before sending]</t>
  </si>
  <si>
    <t>L3</t>
  </si>
  <si>
    <t>seizure-free, SE level=big</t>
  </si>
  <si>
    <t>sleepiness (big)</t>
  </si>
  <si>
    <t>Lower the dose</t>
  </si>
  <si>
    <t>No seizures; big-impact side effects (L4) -&gt; lower the dose; order labs.</t>
  </si>
  <si>
    <t>AI MEDICATION ASSISTANT - Between-Visit Summary (draft for review)
Patient L3 · 12 yr · 40 kg · Medication: Topiramate
What the family reported
  • Medication use: almost never misses a dose
  • Current dose: 250 mg x 2/day = 500 mg/day
  • Seizures: none reported this interval
  • Side effects: sleepiness - overall manageable but unwanted
      impact on daily life: a big impact
  • Dose status: at goal (at the goal dose)
  • Family preference: no strong preference (defers to the team)
Suggested next step
  Lower the dose
  Reason: No seizures; big-impact side effects (L4) -&gt; lower the dose; order labs.
  Recommended follow-up: schedule another digital check-in in ~4 week(s).
  Labs to order (per medication): CBC, CMP, topiramate level.
  Why this is suggested:
    - Seizure-free; action taken from Dr. Barbour's 2026-06-25 No-Seizures table by phase x side-effect level (DRAFT, verified:false).
AI-generated DRAFT - rules-based, no medical recommendation is final until the reviewing physician approves it.</t>
  </si>
  <si>
    <t>Thank you for the update on your child.
Based on your answers, your care team may suggest lowering the topiramate dose to ease the side effects. They may also order some lab tests. They will confirm the exact plan with you.
We'd like to check in again with a short online update in about 4 weeks.
Please do not change the medicine before hearing from the team. 
- [physician name]
[DRAFT - physician review required before sending]</t>
  </si>
  <si>
    <t>L4</t>
  </si>
  <si>
    <t>seizure-free, SE level=not_a_fit</t>
  </si>
  <si>
    <t>sleepiness (not a fit)</t>
  </si>
  <si>
    <t>No seizures; side effects make this medicine not a fit (L5) -&gt; switch.</t>
  </si>
  <si>
    <t>AI MEDICATION ASSISTANT - Between-Visit Summary (draft for review)
Patient L4 · 13 yr · 45 kg · Medication: Zonisamide
What the family reported
  • Medication use: almost never misses a dose
  • Current dose: 250 mg x 2/day = 500 mg/day
  • Seizures: none reported this interval
  • Side effects: sleepiness - overall intolerable
      impact on daily life: this medicine does not seem to be a fit
  • Dose status: still increasing
  • Family preference: no strong preference (defers to the team)
Suggested next step
  Consider switching to a different medicine
  Reason: No seizures; side effects make this medicine not a fit (L5) -&gt; switch.
  Switch target: for the physician to choose (no chart-approved option). A switch-candidate menu is a planned feature.
  Recommended follow-up: schedule another digital check-in in ~4 week(s).
  Why this is suggested:
    - Seizure-free; action taken from Dr. Barbour's 2026-06-25 No-Seizures table by phase x side-effect level (DRAFT, verified:false).
AI-generated DRAFT - rules-based, no medical recommendation is final until the reviewing physician approves it.</t>
  </si>
  <si>
    <t>Thank you for the update on your child.
Based on your answers, your care team may discuss trying a different medicine instead of zonisamide. They will be in touch.
We'd like to check in again with a short online update in about 4 weeks.
Please do not change the medicine before hearing from the team. 
- [physician name]
[DRAFT - physician review required before sending]</t>
  </si>
  <si>
    <t>L5</t>
  </si>
  <si>
    <t>AI MEDICATION ASSISTANT - Between-Visit Summary (draft for review)
Patient L5 · 14 yr · 50 kg · Medication: Valproic Acid
What the family reported
  • Medication use: almost never misses a dose
  • Current dose: 250 mg x 2/day = 500 mg/day
  • Seizures: none reported this interval
  • Side effects: sleepiness - overall manageable but unwanted
      impact on daily life: a medium impact (noticeable but manageable)
  • Dose status: at goal (at the goal dose)
  • Family preference: no strong preference (defers to the team)
Suggested next step
  Keep the current dose (no change)
  Reason: No seizures; side effects low/none (L0-L1) -&gt; continue the current plan.
  Why this is suggested:
    - Seizure-free; action taken from Dr. Barbour's 2026-06-25 No-Seizures table by phase x side-effect level (DRAFT, verified:false).
  ⚠ valproic_acid: requires lab monitoring.
AI-generated DRAFT - rules-based, no medical recommendation is final until the reviewing physician approves it.</t>
  </si>
  <si>
    <t>L6</t>
  </si>
  <si>
    <t>AI MEDICATION ASSISTANT - Between-Visit Summary (draft for review)
Patient L6 · 15 yr · 55 kg · Medication: Lamotrigine
What the family reported
  • Medication use: almost never misses a dose
  • Current dose: 250 mg x 2/day = 500 mg/day
  • Seizures: none reported this interval
  • Side effects: sleepiness - overall manageable but unwanted
      impact on daily life: a medium impact affecting daily life a lot
  • Dose status: at goal (at the goal dose)
  • Family preference: no strong preference (defers to the team)
Suggested next step
  Hold at the current dose (pause increases)
  Reason: No seizures; medium-but-significant side effects (L3) -&gt; hold the current dose; follow up; order labs.
  Question to put to the family (PI-supplied wording):
    “Side effects are often strongest right after a dose change and can ease as the body adjusts to the medicine over the first couple of weeks. Thinking about the past week, do your child's side effects seem to be getting better as they adjust to this dose? Yes - they seem to be improving / No - they are staying the same or getting worse.”
  Recommended follow-up: schedule another digital check-in in ~4 week(s).
  Dosing note: Consider TID (three-times-daily) dosing, or watchful waiting.
  Why this is suggested:
    - Seizure-free; action taken from Dr. Barbour's 2026-06-25 No-Seizures table by phase x side-effect level (DRAFT, verified:false).
AI-generated DRAFT - rules-based, no medical recommendation is final until the reviewing physician approves it.</t>
  </si>
  <si>
    <t>Thank you for the update on your child.
Based on your answers, your care team may suggest staying at the current lamotrigine dose for now (rather than increasing) while the side effects are watched. They may also order some lab tests and will check in with you.
Side effects are often strongest right after a dose change and can ease as the body adjusts to the medicine over the first couple of weeks. Thinking about the past week, do your child's side effects seem to be getting better as they adjust to this dose? Yes - they seem to be improving / No - they are staying the same or getting worse.
We'd like to check in again with a short online update in about 4 weeks.
Please do not change the medicine before hearing from the team. 
- [physician name]
[DRAFT - physician review required before sending]</t>
  </si>
  <si>
    <t>L7</t>
  </si>
  <si>
    <t>AI MEDICATION ASSISTANT - Between-Visit Summary (draft for review)
Patient L7 · 10 yr · 32 kg · Medication: Lacosamide
What the family reported
  • Medication use: almost never misses a dose
  • Current dose: 250 mg x 2/day = 500 mg/day
  • Seizures: none reported this interval
  • Side effects: sleepiness - overall manageable but unwanted
      impact on daily life: a big impact
  • Dose status: still increasing
  • Family preference: no strong preference (defers to the team)
Suggested next step
  Lower the dose
  Reason: No seizures; big-impact side effects (L4) -&gt; lower the dose; order labs.
  Recommended follow-up: schedule another digital check-in in ~4 week(s).
  Why this is suggested:
    - Seizure-free; action taken from Dr. Barbour's 2026-06-25 No-Seizures table by phase x side-effect level (DRAFT, verified:false).
AI-generated DRAFT - rules-based, no medical recommendation is final until the reviewing physician approves it.</t>
  </si>
  <si>
    <t>Thank you for the update on your child.
Based on your answers, your care team may suggest lowering the lacosamide dose to ease the side effects. They may also order some lab tests. They will confirm the exact plan with you.
We'd like to check in again with a short online update in about 4 weeks.
Please do not change the medicine before hearing from the team. 
- [physician name]
[DRAFT - physician review required before sending]</t>
  </si>
  <si>
    <t>L8</t>
  </si>
  <si>
    <t>AI MEDICATION ASSISTANT - Between-Visit Summary (draft for review)
Patient L8 · 11 yr · 36 kg · Medication: Brivaracetam
What the family reported
  • Medication use: almost never misses a dose
  • Current dose: 250 mg x 2/day = 500 mg/day
  • Seizures: none reported this interval
  • Side effects: sleepiness - overall intolerable
      impact on daily life: this medicine does not seem to be a fit
  • Dose status: at goal (at the goal dose)
  • Family preference: no strong preference (defers to the team)
Suggested next step
  Consider switching to a different medicine
  Reason: No seizures; side effects make this medicine not a fit (L5) -&gt; switch.
  Switch target: for the physician to choose (no chart-approved option). A switch-candidate menu is a planned feature.
  Do NOT switch to: levetiracetam (already tried, or a worse-tolerated option).
  Recommended follow-up: schedule another digital check-in in ~4 week(s).
  Why this is suggested:
    - Seizure-free; action taken from Dr. Barbour's 2026-06-25 No-Seizures table by phase x side-effect level (DRAFT, verified:false).
AI-generated DRAFT - rules-based, no medical recommendation is final until the reviewing physician approves it.</t>
  </si>
  <si>
    <t>Thank you for the update on your child.
Based on your answers, your care team may discuss trying a different medicine instead of brivaracetam. They will be in touch.
We'd like to check in again with a short online update in about 4 weeks.
Please do not change the medicine before hearing from the team. 
- [physician name]
[DRAFT - physician review required before sending]</t>
  </si>
  <si>
    <t>M1</t>
  </si>
  <si>
    <t>M</t>
  </si>
  <si>
    <t>breakthrough, SE limit further increase, med helping (add-on candidate)</t>
  </si>
  <si>
    <t>sleepiness (difficult but tolerable)</t>
  </si>
  <si>
    <t>add approved: clobazam</t>
  </si>
  <si>
    <t>Helping but dose-limited by side effects + ongoing seizures -&gt; add a second med.</t>
  </si>
  <si>
    <t>AI MEDICATION ASSISTANT - Between-Visit Summary (draft for review)
Patient M1 · 11 yr · 36 kg · Medication: Levetiracetam
What the family reported
  • Medication use: almost never misses a dose
  • Current dose: 250 mg x 2/day = 500 mg/day
  • Seizures: breakthrough seizures reported - number not given; type(s): one part of the body shaking or twitching
  • Side effects: sleepiness - overall manageable but unwanted
      impact on daily life: a lot of impact (still tolerable)
  • Dose status: still increasing
  • Overall, the family feels things are: better
  • Family preference: no strong preference (defers to the team)
Suggested next step
  Consider adding a second medicine (combination therapy)
  Reason: Helping but dose-limited by side effects + ongoing seizures -&gt; add a second med.
  Why this is suggested:
    - Medicine is helping but side effects prevent further dose increases while seizures continue - consider ADDING a second medicine (combination therapy).
AI-generated DRAFT - rules-based, no medical recommendation is final until the reviewing physician approves it.</t>
  </si>
  <si>
    <t>Thank you for the update on your child.
Based on your answers, your care team may discuss adding a second medicine alongside levetiracetam (some children do best on two medicines that work in different ways). They will confirm the plan with you.
Please do not change the medicine before hearing from the team. 
- [physician name]
[DRAFT - physician review required before sending]</t>
  </si>
  <si>
    <t>M2</t>
  </si>
  <si>
    <t>cannot reach min effective dose due to SE -&gt; switch candidate</t>
  </si>
  <si>
    <t>Can't reach a minimum effective dose due to side effects -&gt; switch.</t>
  </si>
  <si>
    <t>AI MEDICATION ASSISTANT - Between-Visit Summary (draft for review)
Patient M2 · 12 yr · 40 kg · Medication: Oxcarbazepine
What the family reported
  • Medication use: almost never misses a dose
  • Current dose: 250 mg x 2/day = 500 mg/day
  • Seizures: breakthrough seizures reported - number not given; type(s): one part of the body shaking or twitching
  • Side effects: dizziness - overall intolerable
      impact on daily life: a big impact - family would like a change
  • Dose status: still increasing
  • Family preference: no strong preference (defers to the team)
Suggested next step
  Consider switching to a different medicine
  Reason: Can't reach a minimum effective dose due to side effects -&gt; switch.
  Switch target: for the physician to choose (no chart-approved option). A switch-candidate menu is a planned feature.
  Do NOT switch to: carbamazepine (already tried, or a worse-tolerated option).
  Why this is suggested:
    - Side effects prevent reaching even a minimum effective dose - switch to a better-tolerated medicine.
  ⚠ oxcarbazepine: consider HLA-B*1502 screening before/around use (higher SJS/TEN risk in patients of Southeast/East Asian ancestry).
AI-generated DRAFT - rules-based, no medical recommendation is final until the reviewing physician approves it.</t>
  </si>
  <si>
    <t>M3</t>
  </si>
  <si>
    <t>seizure-free but SE limit escalation, helping</t>
  </si>
  <si>
    <t>AI MEDICATION ASSISTANT - Between-Visit Summary (draft for review)
Patient M3 · 13 yr · 45 kg · Medication: Lamotrigine
What the family reported
  • Medication use: almost never misses a dose
  • Current dose: 250 mg x 2/day = 500 mg/day
  • Seizures: none reported this interval
  • Side effects: dizziness - overall manageable but unwanted
      impact on daily life: a lot of impact (still tolerable)
  • Dose status: still increasing
  • Overall, the family feels things are: better
  • Family preference: no strong preference (defers to the team)
Suggested next step
  Keep the current dose (no change)
  Reason: Seizure-free + tolerable side effects -&gt; no change; reassess soon.
  Recommended follow-up: schedule another digital check-in in ~1 week(s).
  Why this is suggested:
    - Seizure-free with manageable/difficult-but-tolerable side effects - no medication change; reassess whether the side effect eases as the body adjusts.
AI-generated DRAFT - rules-based, no medical recommendation is final until the reviewing physician approves it.</t>
  </si>
  <si>
    <t>M4</t>
  </si>
  <si>
    <t>min goal unreachable due to SE</t>
  </si>
  <si>
    <t>AI MEDICATION ASSISTANT - Between-Visit Summary (draft for review)
Patient M4 · 10 yr · 32 kg · Medication: Valproic Acid
What the family reported
  • Medication use: almost never misses a dose
  • Current dose: 250 mg x 2/day = 500 mg/day
  • Seizures: none reported this interval
  • Side effects: nausea - overall intolerable
      impact on daily life: a big impact - family would like a change
  • Dose status: still increasing
  • Family preference: no strong preference (defers to the team)
Suggested next step
  Consider switching to a different medicine
  Reason: Can't reach a minimum effective dose due to side effects -&gt; switch.
  Switch target: for the physician to choose (no chart-approved option). A switch-candidate menu is a planned feature.
  Why this is suggested:
    - Side effects prevent reaching even a minimum effective dose - switch to a better-tolerated medicine.
  ⚠ valproic_acid: requires lab monitoring.
AI-generated DRAFT - rules-based, no medical recommendation is final until the reviewing physician approves it.</t>
  </si>
  <si>
    <t>N1</t>
  </si>
  <si>
    <t>N</t>
  </si>
  <si>
    <t>breakthrough+no SE, CANNOT increase, switch approved</t>
  </si>
  <si>
    <t>Breakthrough | type: focal | focal under_1min 2/week</t>
  </si>
  <si>
    <t>can increase: NO; switch approved: brivaracetam</t>
  </si>
  <si>
    <t>AI MEDICATION ASSISTANT - Between-Visit Summary (draft for review)
Patient N1 · 14 yr · 50 kg · Medication: Levetiracetam
What the family reported
  • Medication use: almost never misses a dose
  • Current dose: 250 mg x 2/day = 500 mg/day
  • Seizures: breakthrough seizures reported - number not given; type(s): one part of the body shaking or twitching
  • Side effects: none reported
  • Dose status: still increasing
  • Family preference: no strong preference (defers to the team)
Suggested next step
  Keep the current dose (no change)
  Reason: Short/infrequent breakthrough while titrating -&gt; continue plan.
  Recommended follow-up: schedule another digital check-in in ~4 week(s).
  Why this is suggested:
    - Breakthrough seizures are short and/or infrequent while still titrating - continue the current plan (no change), keep increasing toward goal as scheduled.
AI-generated DRAFT - rules-based, no medical recommendation is final until the reviewing physician approves it.</t>
  </si>
  <si>
    <t>N2</t>
  </si>
  <si>
    <t>breakthrough+no SE, CANNOT increase, no switch approved</t>
  </si>
  <si>
    <t>can increase: NO</t>
  </si>
  <si>
    <t>AI MEDICATION ASSISTANT - Between-Visit Summary (draft for review)
Patient N2 · 12 yr · 40 kg · Medication: Topiramate
What the family reported
  • Medication use: almost never misses a dose
  • Current dose: 250 mg x 2/day = 500 mg/day
  • Seizures: breakthrough seizures reported - number not given; type(s): one part of the body shaking or twitching
  • Side effects: none reported
  • Dose status: still increasing
  • Family preference: no strong preference (defers to the team)
Suggested next step
  Keep the current dose (no change)
  Reason: Short/infrequent breakthrough while titrating -&gt; continue plan.
  Recommended follow-up: schedule another digital check-in in ~4 week(s).
  Why this is suggested:
    - Breakthrough seizures are short and/or infrequent while still titrating - continue the current plan (no change), keep increasing toward goal as scheduled.
AI-generated DRAFT - rules-based, no medical recommendation is final until the reviewing physician approves it.</t>
  </si>
  <si>
    <t>N3</t>
  </si>
  <si>
    <t>breakthrough+no SE, CAN increase (approved)</t>
  </si>
  <si>
    <t>can increase: yes</t>
  </si>
  <si>
    <t>AI MEDICATION ASSISTANT - Between-Visit Summary (draft for review)
Patient N3 · 13 yr · 45 kg · Medication: Lamotrigine
What the family reported
  • Medication use: almost never misses a dose
  • Current dose: 250 mg x 2/day = 500 mg/day
  • Seizures: breakthrough seizures reported - number not given; type(s): one part of the body shaking or twitching
  • Side effects: none reported
  • Dose status: still increasing
  • Family preference: no strong preference (defers to the team)
Suggested next step
  Keep the current dose (no change)
  Reason: Short/infrequent breakthrough while titrating -&gt; continue plan.
  Recommended follow-up: schedule another digital check-in in ~4 week(s).
  Why this is suggested:
    - Breakthrough seizures are short and/or infrequent while still titrating - continue the current plan (no change), keep increasing toward goal as scheduled.
AI-generated DRAFT - rules-based, no medical recommendation is final until the reviewing physician approves it.</t>
  </si>
  <si>
    <t>N4</t>
  </si>
  <si>
    <t>intolerable SE, switch approved to oxcarbazepine</t>
  </si>
  <si>
    <t>switch approved: oxcarbazepine</t>
  </si>
  <si>
    <t>oxcarbazepine</t>
  </si>
  <si>
    <t>AI MEDICATION ASSISTANT - Between-Visit Summary (draft for review)
Patient N4 · 13 yr · 45 kg · Medication: Carbamazepine
What the family reported
  • Medication use: almost never misses a dose
  • Current dose: 250 mg x 2/day = 500 mg/day
  • Seizures: breakthrough seizures reported - number not given; type(s): one part of the body shaking or twitching
  • Side effects: behavior change - overall intolerable
      impact on daily life: a big impact - family would like a change
  • Dose status: still increasing
  • Family preference: no strong preference (defers to the team)
Suggested next step
  Consider switching to a different medicine
  Reason: Breakthrough + intolerable side effects -&gt; switch.
  Possible switch target: oxcarbazepine
  Why this is suggested:
    - Breakthrough seizures + intolerable side effects - switch.
  ⚠ carbamazepine: requires lab monitoring.
  ⚠ carbamazepine: consider HLA-B*1502 screening before/around use (higher SJS/TEN risk in patients of Southeast/East Asian ancestry).
AI-generated DRAFT - rules-based, no medical recommendation is final until the reviewing physician approves it.</t>
  </si>
  <si>
    <t>Thank you for the update on your child.
Based on your answers, your care team may discuss trying a different medicine (oxcarbazepine) instead of carbamazepine. They will be in touch.
Please do not change the medicine before hearing from the team. 
- [physician name]
[DRAFT - physician review required before sending]</t>
  </si>
  <si>
    <t>N5</t>
  </si>
  <si>
    <t>intolerable SE, switch approved to lacosamide</t>
  </si>
  <si>
    <t>switch approved: lacosamide</t>
  </si>
  <si>
    <t>lacosamide</t>
  </si>
  <si>
    <t>AI MEDICATION ASSISTANT - Between-Visit Summary (draft for review)
Patient N5 · 12 yr · 40 kg · Medication: Brivaracetam
What the family reported
  • Medication use: almost never misses a dose
  • Current dose: 250 mg x 2/day = 500 mg/day
  • Seizures: breakthrough seizures reported - number not given; type(s): one part of the body shaking or twitching
  • Side effects: irritability - overall intolerable
      impact on daily life: a big impact - family would like a change
  • Dose status: still increasing
  • Family preference: no strong preference (defers to the team)
Suggested next step
  Consider switching to a different medicine
  Reason: Breakthrough + intolerable side effects -&gt; switch.
  Possible switch target: lacosamide
  Do NOT switch to: levetiracetam (already tried, or a worse-tolerated option).
  Why this is suggested:
    - Breakthrough seizures + intolerable side effects - switch.
AI-generated DRAFT - rules-based, no medical recommendation is final until the reviewing physician approves it.</t>
  </si>
  <si>
    <t>Thank you for the update on your child.
Based on your answers, your care team may discuss trying a different medicine (lacosamide) instead of brivaracetam. They will be in touch.
Please do not change the medicine before hearing from the team. 
- [physician name]
[DRAFT - physician review required before sending]</t>
  </si>
  <si>
    <t>O1</t>
  </si>
  <si>
    <t>O</t>
  </si>
  <si>
    <t>focal, urgent tier by frequency</t>
  </si>
  <si>
    <t>Breakthrough | type: focal | focal 1_3min 6/week</t>
  </si>
  <si>
    <t>AI MEDICATION ASSISTANT - Between-Visit Summary (draft for review)
Patient O1 · 11 yr · 36 kg · Medication: Oxcarbazepine
What the family reported
  • Medication use: almost never misses a dose
  • Current dose: 250 mg x 2/day = 500 mg/day
  • Seizures: breakthrough seizures reported - number not given; type(s): one part of the body shaking or twitching
  • Side effects: none reported
  • Dose status: still increasing
  • Family preference: no strong preference (defers to the team)
Suggested next step
  Increase the dose - FASTER than the standard cadence
  Reason: Frequent/long breakthrough seizures -&gt; increase faster.
  Do NOT switch to: carbamazepine (already tried, or a worse-tolerated option).
  Why this is suggested:
    - Frequent and/or long breakthrough seizures - increase the dose FASTER toward the goal (per the duration/frequency thresholds).
  ⚠ oxcarbazepine: consider HLA-B*1502 screening before/around use (higher SJS/TEN risk in patients of Southeast/East Asian ancestry).
AI-generated DRAFT - rules-based, no medical recommendation is final until the reviewing physician approves it.</t>
  </si>
  <si>
    <t>O2</t>
  </si>
  <si>
    <t>whole-body emergent by duration &gt;5min</t>
  </si>
  <si>
    <t>AI MEDICATION ASSISTANT - Between-Visit Summary (draft for review)
Patient O2 · 9 yr · 29 kg · Medication: Valproic Acid
What the family reported
  • Medication use: almost never misses a dose
  • Current dose: 250 mg x 2/day = 500 mg/day
  • Seizures: breakthrough seizures reported - number not given; type(s): whole-body shaking or stiffening
  • Side effects: none reported
  • Dose status: still increasing
  • Family preference: no strong preference (defers to the team)
Suggested next step
  Increase the dose - FASTER than the standard cadence
  Reason: Urgent: prolonged/repeated seizures; if med has helped, increase faster.
  Why this is suggested:
    - Prolonged/repeated seizures reported - urgent physician review. If the medicine has been helping, increase faster toward the goal dose.
  ⚠ valproic_acid: requires lab monitoring.
Safety
  An urgent safety concern was flagged - a physician must review right away, and no message goes to the family automatically.
  • Whole-body (generalized) seizure lasting longer than 3 minutes - urgent
AI-generated DRAFT - rules-based, no medical recommendation is final until the reviewing physician approves it.</t>
  </si>
  <si>
    <t>O3</t>
  </si>
  <si>
    <t>absence non-urgent short</t>
  </si>
  <si>
    <t>Breakthrough | type: brief_staring | brief_staring under_1min 3/week</t>
  </si>
  <si>
    <t>AI MEDICATION ASSISTANT - Between-Visit Summary (draft for review)
Patient O3 · 8 yr · 26 kg · Medication: Ethosuximide
What the family reported
  • Medication use: almost never misses a dose
  • Current dose: 250 mg x 2/day = 500 mg/day
  • Seizures: breakthrough seizures reported - number not given; type(s): brief staring spells
  • Side effects: none reported
  • Dose status: still increasing
  • Family preference: no strong preference (defers to the team)
Suggested next step
  Keep the current dose (no change)
  Reason: Short/infrequent breakthrough while titrating -&gt; continue plan.
  Recommended follow-up: schedule another digital check-in in ~4 week(s).
  Why this is suggested:
    - Breakthrough seizures are short and/or infrequent while still titrating - continue the current plan (no change), keep increasing toward goal as scheduled.
AI-generated DRAFT - rules-based, no medical recommendation is final until the reviewing physician approves it.</t>
  </si>
  <si>
    <t>Thank you for the update on your child.
Based on your answers, your care team may suggest keeping the ethosuximide the same for now. Please continue as prescribed.
We'd like to check in again with a short online update in about 4 weeks.
Please do not change the medicine before hearing from the team. 
- [physician name]
[DRAFT - physician review required before sending]</t>
  </si>
  <si>
    <t>O4</t>
  </si>
  <si>
    <t>focal impaired-awareness urgent</t>
  </si>
  <si>
    <t>Breakthrough | type: acting_off | acting_off 1_3min 4/week</t>
  </si>
  <si>
    <t>AI MEDICATION ASSISTANT - Between-Visit Summary (draft for review)
Patient O4 · 13 yr · 45 kg · Medication: Levetiracetam
What the family reported
  • Medication use: almost never misses a dose
  • Current dose: 250 mg x 2/day = 500 mg/day
  • Seizures: breakthrough seizures reported - number not given; type(s): acting off or not responding appropriately, without shaking or stiffening
  • Side effects: none reported
  • Dose status: still increasing
  • Family preference: no strong preference (defers to the team)
Suggested next step
  Increase the dose - FASTER than the standard cadence
  Reason: Frequent/long breakthrough seizures -&gt; increase faster.
  Why this is suggested:
    - Frequent and/or long breakthrough seizures - increase the dose FASTER toward the goal (per the duration/frequency thresholds).
AI-generated DRAFT - rules-based, no medical recommendation is final until the reviewing physician approves it.</t>
  </si>
  <si>
    <t>O5</t>
  </si>
  <si>
    <t>two seizure types, mixed durations</t>
  </si>
  <si>
    <t>Breakthrough | type: focal, whole_body | focal under_1min 2/week; whole_body 1_3min 1/week</t>
  </si>
  <si>
    <t>Breakthrough below faster thresholds -&gt; continue plan.</t>
  </si>
  <si>
    <t>AI MEDICATION ASSISTANT - Between-Visit Summary (draft for review)
Patient O5 · 15 yr · 55 kg · Medication: Lamotrigine
What the family reported
  • Medication use: almost never misses a dose
  • Current dose: 250 mg x 2/day = 500 mg/day
  • Seizures: breakthrough seizures reported - number not given; type(s): one part of the body shaking or twitching, whole-body shaking or stiffening
  • Side effects: none reported
  • Dose status: still increasing
  • Family preference: no strong preference (defers to the team)
Suggested next step
  Keep the current dose (no change)
  Reason: Breakthrough below faster thresholds -&gt; continue plan.
  Recommended follow-up: schedule another digital check-in in ~4 week(s).
  Why this is suggested:
    - Breakthrough seizures, duration captured but below the increase-faster thresholds - continue the current titration plan.
AI-generated DRAFT - rules-based, no medical recommendation is final until the reviewing physician approves it.</t>
  </si>
  <si>
    <t>O6</t>
  </si>
  <si>
    <t>unresponsive episode reported</t>
  </si>
  <si>
    <t>Breakthrough | type: focal | focal 1_3min 2/week</t>
  </si>
  <si>
    <t>At max dose, not helping -&gt; switch.</t>
  </si>
  <si>
    <t>AI MEDICATION ASSISTANT - Between-Visit Summary (draft for review)
Patient O6 · 6 yr · 20 kg · Medication: Clobazam
What the family reported
  • Medication use: almost never misses a dose
  • Current dose: 250 mg x 2/day = 500 mg/day
  • Seizures: breakthrough seizures reported - number not given; type(s): one part of the body shaking or twitching
  • Side effects: none reported
  • Dose status: still increasing
  • Family preference: no strong preference (defers to the team)
Suggested next step
  Consider switching to a different medicine
  Reason: At max dose, not helping -&gt; switch.
  Switch target: for the physician to choose (no chart-approved option). A switch-candidate menu is a planned feature.
  Why this is suggested:
    - Frequent/long breakthrough seizures at the maximum dose and the medicine is not clearly helping - switch.
AI-generated DRAFT - rules-based, no medical recommendation is final until the reviewing physician approves it.</t>
  </si>
  <si>
    <t>P1</t>
  </si>
  <si>
    <t>P</t>
  </si>
  <si>
    <t>small rash + Southeast Asian ancestry</t>
  </si>
  <si>
    <t>rash: small; SE-Asian ancestry</t>
  </si>
  <si>
    <t>AI MEDICATION ASSISTANT - Between-Visit Summary (draft for review)
Patient P1 · 10 yr · 32 kg · Medication: Lamotrigine
What the family reported
  • Medication use: almost never misses a dose
  • Current dose: 250 mg x 2/day = 500 mg/day
  • Seizures: none reported this interval
  • Side effects: rash - overall manageable but unwanted
      rash: small / localized rash
  • Dose status: still increasing
  • Family preference: no strong preference (defers to the team)
Suggested next step
  Consider switching to a different medicine
  Reason: Small rash + SJS-risk workup criterion -&gt; switch.
  Switch target: for the physician to choose (no chart-approved option). A switch-candidate menu is a planned feature.
  Why this is suggested:
    - Small rash on lamotrigine (serious-rash risk) plus a workup criterion (ancestry / other meds / missed doses / time on med / no viral illness) - switch.
  ⚠ Small rash on an SJS-risk drug met a switch criterion (theme T11).
AI-generated DRAFT - rules-based, no medical recommendation is final until the reviewing physician approves it.</t>
  </si>
  <si>
    <t>P2</t>
  </si>
  <si>
    <t>small rash + polypharmacy (many meds)</t>
  </si>
  <si>
    <t>AI MEDICATION ASSISTANT - Between-Visit Summary (draft for review)
Patient P2 · 9 yr · 29 kg · Medication: Lamotrigine
What the family reported
  • Medication use: almost never misses a dose
  • Current dose: 250 mg x 2/day = 500 mg/day
  • Seizures: none reported this interval
  • Side effects: rash - overall manageable but unwanted
      rash: small / localized rash
  • Dose status: still increasing
  • Family preference: no strong preference (defers to the team)
Suggested next step
  Consider switching to a different medicine
  Reason: Small rash + SJS-risk workup criterion -&gt; switch.
  Switch target: for the physician to choose (no chart-approved option). A switch-candidate menu is a planned feature.
  Why this is suggested:
    - Small rash on lamotrigine (serious-rash risk) plus a workup criterion (ancestry / other meds / missed doses / time on med / no viral illness) - switch.
  ⚠ Small rash on an SJS-risk drug met a switch criterion (theme T11).
AI-generated DRAFT - rules-based, no medical recommendation is final until the reviewing physician approves it.</t>
  </si>
  <si>
    <t>P3</t>
  </si>
  <si>
    <t>small rash + missed doses</t>
  </si>
  <si>
    <t>Sometimes misses (missed_medication)</t>
  </si>
  <si>
    <t>AI MEDICATION ASSISTANT - Between-Visit Summary (draft for review)
Patient P3 · 11 yr · 36 kg · Medication: Lamotrigine
What the family reported
  • Medication use: sometimes misses doses (reasons given: missed medication)
  • Current dose: 250 mg x 2/day = 500 mg/day
  • Seizures: none reported this interval
  • Side effects: rash - overall manageable but unwanted
      rash: small / localized rash
  • Dose status: still increasing
  • Family preference: no strong preference (defers to the team)
Suggested next step
  Consider switching to a different medicine
  Reason: Small rash + SJS-risk workup criterion -&gt; switch.
  Switch target: for the physician to choose (no chart-approved option). A switch-candidate menu is a planned feature.
  Why this is suggested:
    - Small rash on lamotrigine (serious-rash risk) plus a workup criterion (ancestry / other meds / missed doses / time on med / no viral illness) - switch.
  ⚠ lamotrigine: missed/stopped doses raise serious-rash (SJS) risk on abrupt restart - consider offering a switch and warn the family.
  ⚠ Small rash on an SJS-risk drug met a switch criterion (theme T11).
AI-generated DRAFT - rules-based, no medical recommendation is final until the reviewing physician approves it.</t>
  </si>
  <si>
    <t>P4</t>
  </si>
  <si>
    <t>small rash early (&lt;1 month on med)</t>
  </si>
  <si>
    <t>AI MEDICATION ASSISTANT - Between-Visit Summary (draft for review)
Patient P4 · 8 yr · 26 kg · Medication: Carbamazepine
What the family reported
  • Medication use: almost never misses a dose
  • Current dose: 250 mg x 2/day = 500 mg/day
  • Seizures: none reported this interval
  • Side effects: rash - overall manageable but unwanted
      rash: small / localized rash
  • Dose status: still increasing
  • Family preference: no strong preference (defers to the team)
Suggested next step
  Consider switching to a different medicine
  Reason: Small rash + SJS-risk workup criterion -&gt; switch.
  Switch target: for the physician to choose (no chart-approved option). A switch-candidate menu is a planned feature.
  Why this is suggested:
    - Small rash on carbamazepine (serious-rash risk) plus a workup criterion (ancestry / other meds / missed doses / time on med / no viral illness) - switch.
  ⚠ carbamazepine: requires lab monitoring.
  ⚠ carbamazepine: consider HLA-B*1502 screening before/around use (higher SJS/TEN risk in patients of Southeast/East Asian ancestry).
  ⚠ Small rash on an SJS-risk drug met a switch criterion (theme T11).
AI-generated DRAFT - rules-based, no medical recommendation is final until the reviewing physician approves it.</t>
  </si>
  <si>
    <t>Thank you for the update on your child.
Based on your answers, your care team may discuss trying a different medicine instead of carbamazepine. They will be in touch.
Please do not change the medicine before hearing from the team. 
- [physician name]
[DRAFT - physician review required before sending]</t>
  </si>
  <si>
    <t>P5</t>
  </si>
  <si>
    <t>small rash + known SJS-risk comed</t>
  </si>
  <si>
    <t>AI MEDICATION ASSISTANT - Between-Visit Summary (draft for review)
Patient P5 · 12 yr · 40 kg · Medication: Lamotrigine
What the family reported
  • Medication use: almost never misses a dose
  • Current dose: 250 mg x 2/day = 500 mg/day
  • Seizures: none reported this interval
  • Side effects: rash - overall manageable but unwanted
      rash: small / localized rash
  • Dose status: still increasing
  • Family preference: no strong preference (defers to the team)
Suggested next step
  Consider switching to a different medicine
  Reason: Small rash + SJS-risk workup criterion -&gt; switch.
  Switch target: for the physician to choose (no chart-approved option). A switch-candidate menu is a planned feature.
  Why this is suggested:
    - Small rash on lamotrigine (serious-rash risk) plus a workup criterion (ancestry / other meds / missed doses / time on med / no viral illness) - switch.
  ⚠ Small rash on an SJS-risk drug met a switch criterion (theme T11).
AI-generated DRAFT - rules-based, no medical recommendation is final until the reviewing physician approves it.</t>
  </si>
  <si>
    <t>P6</t>
  </si>
  <si>
    <t>small rash, on med &gt;6 months, no viral illness</t>
  </si>
  <si>
    <t>AI MEDICATION ASSISTANT - Between-Visit Summary (draft for review)
Patient P6 · 14 yr · 50 kg · Medication: Lamotrigine
What the family reported
  • Medication use: almost never misses a dose
  • Current dose: 250 mg x 2/day = 500 mg/day
  • Seizures: none reported this interval
  • Side effects: rash - overall manageable but unwanted
      rash: small / localized rash
  • Dose status: still increasing
  • Family preference: no strong preference (defers to the team)
Suggested next step
  Consider switching to a different medicine
  Reason: Small rash + SJS-risk workup criterion -&gt; switch.
  Switch target: for the physician to choose (no chart-approved option). A switch-candidate menu is a planned feature.
  Why this is suggested:
    - Small rash on lamotrigine (serious-rash risk) plus a workup criterion (ancestry / other meds / missed doses / time on med / no viral illness) - switch.
  ⚠ Small rash on an SJS-risk drug met a switch criterion (theme T11).
AI-generated DRAFT - rules-based, no medical recommendation is final until the reviewing physician approves it.</t>
  </si>
  <si>
    <t>Z1</t>
  </si>
  <si>
    <t>Z</t>
  </si>
  <si>
    <t>ER visit reported, no rash, seizure-free -&gt; withhold for review</t>
  </si>
  <si>
    <t>er_visit</t>
  </si>
  <si>
    <t>Urgent safety signal - physician review required.</t>
  </si>
  <si>
    <t>AI MEDICATION ASSISTANT - Between-Visit Summary (draft for review)
Patient Z1 · 10 yr · 32 kg · Medication: Levetiracetam
What the family reported
  • Medication use: almost never misses a dose
  • Current dose: 250 mg x 2/day = 500 mg/day
  • Seizures: none reported this interval
  • Side effects: none reported
  • Dose status: still increasing
  • Family preference: no strong preference (defers to the team)
Suggested next step
  Needs clinician review - not enough information to suggest a change
  Reason: Urgent safety signal - physician review required.
  Why this is suggested:
    - Urgent safety signal reported - withhold automated recommendation; require immediate physician review.
Safety
  An urgent safety concern was flagged - a physician must review right away, and no message goes to the family automatically.
  • Recent ER or hospital visit
AI-generated DRAFT - rules-based, no medical recommendation is final until the reviewing physician approves it.</t>
  </si>
  <si>
    <t>Z2</t>
  </si>
  <si>
    <t>breathing difficulty reported, no rash/emergency -&gt; withhold</t>
  </si>
  <si>
    <t>difficulty_breathing</t>
  </si>
  <si>
    <t>AI MEDICATION ASSISTANT - Between-Visit Summary (draft for review)
Patient Z2 · 12 yr · 40 kg · Medication: Valproic Acid
What the family reported
  • Medication use: almost never misses a dose
  • Current dose: 250 mg x 2/day = 500 mg/day
  • Seizures: none reported this interval
  • Side effects: none reported
  • Dose status: still increasing
  • Family preference: no strong preference (defers to the team)
Suggested next step
  Needs clinician review - not enough information to suggest a change
  Reason: Urgent safety signal - physician review required.
  Why this is suggested:
    - Urgent safety signal reported - withhold automated recommendation; require immediate physician review.
  ⚠ valproic_acid: requires lab monitoring.
Safety
  An urgent safety concern was flagged - a physician must review right away, and no message goes to the family automatically.
  • difficulty breathing
AI-generated DRAFT - rules-based, no medical recommendation is final until the reviewing physician approves it.</t>
  </si>
  <si>
    <t>Z3</t>
  </si>
  <si>
    <t>breakthrough at goal + manageable SE -&gt; ask family increase vs add</t>
  </si>
  <si>
    <t>At goal + medium impact + ongoing seizures -&gt; ask family: tolerate &amp; increase, or add a second medicine.</t>
  </si>
  <si>
    <t>AI MEDICATION ASSISTANT - Between-Visit Summary (draft for review)
Patient Z3 · 13 yr · 45 kg · Medication: Oxcarbazepine
What the family reported
  • Medication use: almost never misses a dose
  • Current dose: 250 mg x 2/day = 500 mg/day
  • Seizures: breakthrough seizures reported - 2 per week; type(s): one part of the body shaking or twitching
  • Side effects: sleepiness - overall manageable but unwanted
      impact on daily life: a small impact
  • Dose status: at goal (at the goal dose)
  • Family preference: no strong preference (defers to the team)
Suggested next step
  Needs clinician review - not enough information to suggest a change
  Reason: At goal + medium impact + ongoing seizures -&gt; ask family: tolerate &amp; increase, or add a second medicine.
  Do NOT switch to: carbamazepine (already tried, or a worse-tolerated option).
  Question to put to the family (PI-supplied wording):
    “The doctor might consider increasing seizure medications to treat your child's ongoing seizures. From your perspective, do you think your child is tolerating the medication side effects enough to continue increasing the dose? Or do you think the doctor should consider adding another medication. Sometimes it can be helpful to have two medications that work through different mechanisms and have different side effect profiles, to get the best treatment with the least side effects.”
  Recommended follow-up: schedule another digital check-in in ~1 week(s).
  Why this is suggested:
    - At the goal dose with medium-impact side effects and ongoing seizures - ask the family whether to keep increasing the dose or add a second medicine (preference question).
  ⚠ oxcarbazepine: consider HLA-B*1502 screening before/around use (higher SJS/TEN risk in patients of Southeast/East Asian ancestry).
AI-generated DRAFT - rules-based, no medical recommendation is final until the reviewing physician approves it.</t>
  </si>
  <si>
    <t>Thank you for the update on your child.
Thank you - your care team will review your answers and follow up with any questions before making changes.
The doctor might consider increasing seizure medications to treat your child's ongoing seizures. From your perspective, do you think your child is tolerating the medication side effects enough to continue increasing the dose? Or do you think the doctor should consider adding another medication. Sometimes it can be helpful to have two medications that work through different mechanisms and have different side effect profiles, to get the best treatment with the least side effects.
We'd like to check in again with a short online update in about 1 weeks.
Please do not change the medicine before hearing from the team. 
- [physician name]
[DRAFT - physician review required before sending]</t>
  </si>
  <si>
    <t>Z4</t>
  </si>
  <si>
    <t>breakthrough at goal + difficult-but-tolerable SE -&gt; ask family</t>
  </si>
  <si>
    <t>AI MEDICATION ASSISTANT - Between-Visit Summary (draft for review)
Patient Z4 · 11 yr · 36 kg · Medication: Lamotrigine
What the family reported
  • Medication use: almost never misses a dose
  • Current dose: 250 mg x 2/day = 500 mg/day
  • Seizures: breakthrough seizures reported - 1 per week; type(s): one part of the body shaking or twitching
  • Side effects: dizziness - overall manageable but unwanted
      impact on daily life: a lot of impact (still tolerable)
  • Dose status: at goal (at the goal dose)
  • Family preference: no strong preference (defers to the team)
Suggested next step
  Needs clinician review - not enough information to suggest a change
  Reason: At goal + medium impact + ongoing seizures -&gt; ask family: tolerate &amp; increase, or add a second medicine.
  Question to put to the family (PI-supplied wording):
    “The doctor might consider increasing seizure medications to treat your child's ongoing seizures. From your perspective, do you think your child is tolerating the medication side effects enough to continue increasing the dose? Or do you think the doctor should consider adding another medication. Sometimes it can be helpful to have two medications that work through different mechanisms and have different side effect profiles, to get the best treatment with the least side effects.”
  Recommended follow-up: schedule another digital check-in in ~1 week(s).
  Why this is suggested:
    - At the goal dose with medium-impact side effects and ongoing seizures - ask the family whether to keep increasing the dose or add a second medicine (preference question).
AI-generated DRAFT - rules-based, no medical recommendation is final until the reviewing physician approves it.</t>
  </si>
  <si>
    <t>Z5</t>
  </si>
  <si>
    <t>breakthrough + manageable SE, no duration captured -&gt; need info</t>
  </si>
  <si>
    <t>Breakthrough + side effects; need seizure duration.</t>
  </si>
  <si>
    <t>AI MEDICATION ASSISTANT - Between-Visit Summary (draft for review)
Patient Z5 · 12 yr · 40 kg · Medication: Topiramate
What the family reported
  • Medication use: almost never misses a dose
  • Current dose: 250 mg x 2/day = 500 mg/day
  • Seizures: breakthrough seizures reported - 2 per week; type(s): one part of the body shaking or twitching
  • Side effects: word-finding trouble - overall manageable but unwanted
      impact on daily life: a small impact
  • Dose status: still increasing
  • Family preference: no strong preference (defers to the team)
Suggested next step
  Needs clinician review - not enough information to suggest a change
  Reason: Breakthrough + side effects; need seizure duration.
  Why this is suggested:
    - Breakthrough + manageable side effects, but seizure duration was not captured - need duration to weigh increasing vs holding.
AI-generated DRAFT - rules-based, no medical recommendation is final until the reviewing physician approves it.</t>
  </si>
  <si>
    <t>Z6</t>
  </si>
  <si>
    <t>breakthrough + manageable SE, no duration -&gt; need info</t>
  </si>
  <si>
    <t>nausea (difficult but tolerable)</t>
  </si>
  <si>
    <t>AI MEDICATION ASSISTANT - Between-Visit Summary (draft for review)
Patient Z6 · 13 yr · 45 kg · Medication: Carbamazepine
What the family reported
  • Medication use: almost never misses a dose
  • Current dose: 250 mg x 2/day = 500 mg/day
  • Seizures: breakthrough seizures reported - 1 per week; type(s): whole-body shaking or stiffening
  • Side effects: nausea - overall manageable but unwanted
      impact on daily life: a lot of impact (still tolerable)
  • Dose status: still increasing
  • Family preference: no strong preference (defers to the team)
Suggested next step
  Needs clinician review - not enough information to suggest a change
  Reason: Breakthrough + side effects; need seizure duration.
  Why this is suggested:
    - Breakthrough + manageable side effects, but seizure duration was not captured - need duration to weigh increasing vs holding.
  ⚠ carbamazepine: requires lab monitoring.
  ⚠ carbamazepine: consider HLA-B*1502 screening before/around use (higher SJS/TEN risk in patients of Southeast/East Asian ancestry).
AI-generated DRAFT - rules-based, no medical recommendation is final until the reviewing physician approves it.</t>
  </si>
  <si>
    <t>Z7</t>
  </si>
  <si>
    <t>on lamotrigine with missed doses (SJS restart-risk note)</t>
  </si>
  <si>
    <t>AI MEDICATION ASSISTANT - Between-Visit Summary (draft for review)
Patient Z7 · 10 yr · 32 kg · Medication: Lamotrigine
What the family reported
  • Medication use: sometimes misses doses (reasons given: missed medication)
  • Current dose: 250 mg x 2/day = 500 mg/day
  • Seizures: none reported this interval
  • Side effects: none reported
  • Dose status: still increasing
  • Family preference: no strong preference (defers to the team)
Suggested next step
  Keep the current dose (no change)
  Reason: Seizure-free, no side effects -&gt; no change (continue plan).
  Recommended follow-up: schedule another digital check-in in ~4 week(s).
  Why this is suggested:
    - Seizure-free with no side effects - no medication change. Continue the current plan; if still titrating, recheck on schedule.
  Note on adherence: Adherence is suboptimal; weigh this when interpreting efficacy/tolerability.
  ⚠ lamotrigine: missed/stopped doses raise serious-rash (SJS) risk on abrupt restart - consider offering a switch and warn the family.
AI-generated DRAFT - rules-based, no medical recommendation is final until the reviewing physician approves it.</t>
  </si>
  <si>
    <t>Z8</t>
  </si>
  <si>
    <t>prolonged seizures + med making things worse (long trial) -&gt; switch</t>
  </si>
  <si>
    <t>Worse</t>
  </si>
  <si>
    <t>Urgent: prolonged/repeated seizures; med not helping -&gt; switch.</t>
  </si>
  <si>
    <t>AI MEDICATION ASSISTANT - Between-Visit Summary (draft for review)
Patient Z8 · 12 yr · 40 kg · Medication: Carbamazepine
What the family reported
  • Medication use: almost never misses a dose
  • Current dose: 250 mg x 2/day = 500 mg/day
  • Seizures: breakthrough seizures reported - 2 per week; type(s): whole-body shaking or stiffening
  • Side effects: none reported
  • Dose status: still increasing
  • Overall, the family feels things are: worse
  • Family preference: no strong preference (defers to the team)
Suggested next step
  Consider switching to a different medicine
  Reason: Urgent: prolonged/repeated seizures; med not helping -&gt; switch.
  Switch target: for the physician to choose (no chart-approved option). A switch-candidate menu is a planned feature.
  Why this is suggested:
    - Prolonged/repeated seizures and the medicine is making things worse after the minimum trial - urgent review; consider switching.
  ⚠ carbamazepine: requires lab monitoring.
  ⚠ carbamazepine: consider HLA-B*1502 screening before/around use (higher SJS/TEN risk in patients of Southeast/East Asian ancestry).
Safety
  An urgent safety concern was flagged - a physician must review right away, and no message goes to the family automatically.
  • Seizure lasting longer than 5 minutes - urgent
AI-generated DRAFT - rules-based, no medical recommendation is final until the reviewing physician approves it.</t>
  </si>
  <si>
    <t>Z9</t>
  </si>
  <si>
    <t>prolonged seizures + med not helping (unchanged, min trial) -&gt; switch</t>
  </si>
  <si>
    <t>About the same</t>
  </si>
  <si>
    <t>Urgent: prolonged/repeated seizures; med unchanged -&gt; switch.</t>
  </si>
  <si>
    <t>AI MEDICATION ASSISTANT - Between-Visit Summary (draft for review)
Patient Z9 · 13 yr · 45 kg · Medication: Topiramate
What the family reported
  • Medication use: almost never misses a dose
  • Current dose: 250 mg x 2/day = 500 mg/day
  • Seizures: breakthrough seizures reported - 2 per week; type(s): whole-body shaking or stiffening
  • Side effects: none reported
  • Dose status: still increasing
  • Overall, the family feels things are: about the same
  • Family preference: no strong preference (defers to the team)
Suggested next step
  Consider switching to a different medicine
  Reason: Urgent: prolonged/repeated seizures; med unchanged -&gt; switch.
  Switch target: for the physician to choose (no chart-approved option). A switch-candidate menu is a planned feature.
  Why this is suggested:
    - Prolonged/repeated seizures and the medicine has not helped after the minimum trial - urgent review; consider switching.
Safety
  An urgent safety concern was flagged - a physician must review right away, and no message goes to the family automatically.
  • Repeated seizures without recovery - urgent
AI-generated DRAFT - rules-based, no medical recommendation is final until the reviewing physician approves it.</t>
  </si>
  <si>
    <t>Z10</t>
  </si>
  <si>
    <t>breakthrough + 6-level SE (medium a lot), urgent tier -&gt; breakthrough table</t>
  </si>
  <si>
    <t>dizziness (medium (a lot))</t>
  </si>
  <si>
    <t>Breakthrough (non_urgent, titrating, L3): Switch dosing (uneven/TID/wait); weeks 1-2 stay at current dose, after week 2 make 1 dose increase; follow up 4 weeks; order labs</t>
  </si>
  <si>
    <t>AI MEDICATION ASSISTANT - Between-Visit Summary (draft for review)
Patient Z10 · 11 yr · 36 kg · Medication: Oxcarbazepine
What the family reported
  • Medication use: almost never misses a dose
  • Current dose: 250 mg x 2/day = 500 mg/day
  • Seizures: breakthrough seizures reported - number not given; type(s): one part of the body shaking or twitching
  • Side effects: dizziness - overall manageable but unwanted
      impact on daily life: a medium impact affecting daily life a lot
  • Dose status: still increasing
  • Family preference: no strong preference (defers to the team)
Suggested next step
  Hold at the current dose (pause increases)
  Reason: Breakthrough (non_urgent, titrating, L3): Switch dosing (uneven/TID/wait); weeks 1-2 stay at current dose, after week 2 make 1 dose increase; follow up 4 weeks; order labs
  Do NOT switch to: carbamazepine (already tried, or a worse-tolerated option).
  Recommended follow-up: schedule another digital check-in in ~4 week(s).
  Breakthrough urgency tier: non-urgent
  Steps (per Dr. Barbour's table): Switch dosing (uneven/TID/wait); weeks 1-2 stay at current dose, after week 2 make 1 dose increase; follow up 4 weeks; order labs
  Labs to order (per medication): CBC, CMP, LFTs, oxcarbazepine level.
  Dosing note: Consider uneven (unequal AM/PM) dosing within 30/70-40/60.
  Why this is suggested:
    - Breakthrough; action from Dr. Barbour's 2026-06-25 breakthrough table (urgency x phase x side-effect level). DRAFT.
  ⚠ oxcarbazepine: consider HLA-B*1502 screening before/around use (higher SJS/TEN risk in patients of Southeast/East Asian ancestry).
AI-generated DRAFT - rules-based, no medical recommendation is final until the reviewing physician approves it.</t>
  </si>
  <si>
    <t>Z11</t>
  </si>
  <si>
    <t>breakthrough + 6-level SE (big), non-urgent tier -&gt; breakthrough table</t>
  </si>
  <si>
    <t>nausea (big)</t>
  </si>
  <si>
    <t>Breakthrough (non_urgent, titrating, L4): Lower dose; add a second medication; follow up 4 weeks; order labs</t>
  </si>
  <si>
    <t>AI MEDICATION ASSISTANT - Between-Visit Summary (draft for review)
Patient Z11 · 12 yr · 40 kg · Medication: Valproic Acid
What the family reported
  • Medication use: almost never misses a dose
  • Current dose: 250 mg x 2/day = 500 mg/day
  • Seizures: breakthrough seizures reported - number not given; type(s): one part of the body shaking or twitching
  • Side effects: nausea - overall manageable but unwanted
      impact on daily life: a big impact
  • Dose status: still increasing
  • Family preference: no strong preference (defers to the team)
Suggested next step
  Consider adding a second medicine (combination therapy)
  Reason: Breakthrough (non_urgent, titrating, L4): Lower dose; add a second medication; follow up 4 weeks; order labs
  Recommended follow-up: schedule another digital check-in in ~4 week(s).
  Breakthrough urgency tier: non-urgent
  Steps (per Dr. Barbour's table): Lower dose; add a second medication; follow up 4 weeks; order labs
  Labs to order (per medication): CBC, CMP, LFTs, ammonia, valproic acid level.
  Why this is suggested:
    - Breakthrough; action from Dr. Barbour's 2026-06-25 breakthrough table (urgency x phase x side-effect level). DRAFT.
  ⚠ valproic_acid: requires lab monitoring.
AI-generated DRAFT - rules-based, no medical recommendation is final until the reviewing physician approves it.</t>
  </si>
  <si>
    <t>Thank you for the update on your child.
Based on your answers, your care team may discuss adding a second medicine alongside valproic_acid (some children do best on two medicines that work in different ways). They will confirm the plan with you.
We'd like to check in again with a short online update in about 4 weeks.
Please do not change the medicine before hearing from the team. 
- [physician name]
[DRAFT - physician review required before sending]</t>
  </si>
  <si>
    <t>Coverage summary</t>
  </si>
  <si>
    <t>Recommendation</t>
  </si>
  <si>
    <t># cases</t>
  </si>
  <si>
    <t>Total cases</t>
  </si>
  <si>
    <t xml:space="preserve">Pediatric epilepsy ASM titration assistant </t>
  </si>
  <si>
    <t xml:space="preserve">132 synthetic cases  ·  100% simulated data </t>
  </si>
  <si>
    <t>These are DRAFTS for your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</si>
</sst>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charset val="1"/>
    </font>
    <font>
      <sz val="10"/>
      <name val="Arial"/>
      <family val="2"/>
    </font>
    <font>
      <b/>
      <sz val="16"/>
      <color rgb="FF1F4E78"/>
      <name val="Arial"/>
      <family val="2"/>
    </font>
    <font>
      <sz val="11"/>
      <color rgb="FF000000"/>
      <name val="Arial"/>
      <family val="2"/>
    </font>
    <font>
      <b/>
      <sz val="11"/>
      <color rgb="FF000000"/>
      <name val="Arial"/>
      <family val="2"/>
    </font>
    <font>
      <b/>
      <sz val="13"/>
      <color rgb="FF1F4E78"/>
      <name val="Arial"/>
      <family val="2"/>
    </font>
    <font>
      <b/>
      <sz val="10"/>
      <color rgb="FFFFFFFF"/>
      <name val="Arial"/>
      <family val="2"/>
    </font>
    <font>
      <sz val="10"/>
      <name val="Arial"/>
      <family val="2"/>
    </font>
    <font>
      <b/>
      <sz val="10"/>
      <name val="Arial"/>
      <family val="2"/>
    </font>
    <font>
      <b/>
      <sz val="10"/>
      <color rgb="FFC00000"/>
      <name val="Arial"/>
      <family val="2"/>
    </font>
    <font>
      <b/>
      <sz val="14"/>
      <color rgb="FF1F4E78"/>
      <name val="Arial"/>
      <family val="2"/>
    </font>
    <font>
      <b/>
      <sz val="11"/>
      <name val="Arial"/>
      <family val="2"/>
    </font>
    <font>
      <sz val="11"/>
      <name val="Arial"/>
      <family val="2"/>
    </font>
  </fonts>
  <fills count="7">
    <fill>
      <patternFill patternType="none"/>
    </fill>
    <fill>
      <patternFill patternType="gray125"/>
    </fill>
    <fill>
      <patternFill patternType="solid">
        <fgColor rgb="FF1F4E78"/>
        <bgColor rgb="FF003366"/>
      </patternFill>
    </fill>
    <fill>
      <patternFill patternType="solid">
        <fgColor rgb="FF7F7F7F"/>
        <bgColor rgb="FF969696"/>
      </patternFill>
    </fill>
    <fill>
      <patternFill patternType="solid">
        <fgColor rgb="FF2E7D32"/>
        <bgColor rgb="FF008000"/>
      </patternFill>
    </fill>
    <fill>
      <patternFill patternType="solid">
        <fgColor rgb="FFF2F2F2"/>
        <bgColor rgb="FFE8F5E9"/>
      </patternFill>
    </fill>
    <fill>
      <patternFill patternType="solid">
        <fgColor rgb="FFE8F5E9"/>
        <bgColor rgb="FFF2F2F2"/>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7">
    <xf numFmtId="0" fontId="0" fillId="0" borderId="0" xfId="0"/>
    <xf numFmtId="0" fontId="2" fillId="0" borderId="0" xfId="0" applyFont="1"/>
    <xf numFmtId="0" fontId="3" fillId="0" borderId="0" xfId="0" applyFont="1"/>
    <xf numFmtId="0" fontId="4" fillId="0" borderId="0" xfId="0" applyFont="1"/>
    <xf numFmtId="0" fontId="5" fillId="0" borderId="0" xfId="0" applyFont="1"/>
    <xf numFmtId="0" fontId="6" fillId="2"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7" fillId="0" borderId="1" xfId="0" applyFont="1" applyBorder="1" applyAlignment="1">
      <alignment vertical="top" wrapText="1"/>
    </xf>
    <xf numFmtId="0" fontId="8" fillId="5" borderId="1" xfId="0" applyFont="1" applyFill="1" applyBorder="1" applyAlignment="1">
      <alignment vertical="top" wrapText="1"/>
    </xf>
    <xf numFmtId="0" fontId="7" fillId="5" borderId="1" xfId="0" applyFont="1" applyFill="1" applyBorder="1" applyAlignment="1">
      <alignment vertical="top" wrapText="1"/>
    </xf>
    <xf numFmtId="0" fontId="7" fillId="6" borderId="1" xfId="0" applyFont="1" applyFill="1" applyBorder="1" applyAlignment="1">
      <alignment vertical="top" wrapText="1"/>
    </xf>
    <xf numFmtId="0" fontId="9" fillId="0" borderId="1" xfId="0" applyFont="1" applyBorder="1" applyAlignment="1">
      <alignment vertical="top" wrapText="1"/>
    </xf>
    <xf numFmtId="0" fontId="10" fillId="0" borderId="0" xfId="0" applyFont="1"/>
    <xf numFmtId="0" fontId="11" fillId="0" borderId="0" xfId="0" applyFont="1"/>
    <xf numFmtId="0" fontId="12" fillId="0" borderId="0" xfId="0" applyFont="1"/>
    <xf numFmtId="0" fontId="1" fillId="5" borderId="1" xfId="0" applyFont="1" applyFill="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2F2F2"/>
      <rgbColor rgb="FFE8F5E9"/>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2E7D32"/>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2"/>
  <sheetViews>
    <sheetView showGridLines="0" tabSelected="1" zoomScaleNormal="100" workbookViewId="0">
      <selection activeCell="A29" sqref="A29"/>
    </sheetView>
  </sheetViews>
  <sheetFormatPr baseColWidth="10" defaultColWidth="8.6640625" defaultRowHeight="15" x14ac:dyDescent="0.2"/>
  <cols>
    <col min="1" max="1" width="100" customWidth="1"/>
  </cols>
  <sheetData>
    <row r="1" spans="1:1" ht="20" x14ac:dyDescent="0.2">
      <c r="A1" s="1" t="s">
        <v>0</v>
      </c>
    </row>
    <row r="2" spans="1:1" x14ac:dyDescent="0.2">
      <c r="A2" s="2" t="s">
        <v>627</v>
      </c>
    </row>
    <row r="3" spans="1:1" x14ac:dyDescent="0.2">
      <c r="A3" s="2"/>
    </row>
    <row r="4" spans="1:1" x14ac:dyDescent="0.2">
      <c r="A4" s="3" t="s">
        <v>628</v>
      </c>
    </row>
    <row r="5" spans="1:1" x14ac:dyDescent="0.2">
      <c r="A5" s="2"/>
    </row>
    <row r="6" spans="1:1" ht="17" x14ac:dyDescent="0.2">
      <c r="A6" s="4" t="s">
        <v>1</v>
      </c>
    </row>
    <row r="7" spans="1:1" x14ac:dyDescent="0.2">
      <c r="A7" s="2" t="s">
        <v>2</v>
      </c>
    </row>
    <row r="8" spans="1:1" x14ac:dyDescent="0.2">
      <c r="A8" s="2" t="s">
        <v>3</v>
      </c>
    </row>
    <row r="9" spans="1:1" x14ac:dyDescent="0.2">
      <c r="A9" s="2" t="s">
        <v>629</v>
      </c>
    </row>
    <row r="10" spans="1:1" x14ac:dyDescent="0.2">
      <c r="A10" s="2"/>
    </row>
    <row r="11" spans="1:1" ht="17" x14ac:dyDescent="0.2">
      <c r="A11" s="4" t="s">
        <v>4</v>
      </c>
    </row>
    <row r="12" spans="1:1" x14ac:dyDescent="0.2">
      <c r="A12" s="2" t="s">
        <v>5</v>
      </c>
    </row>
    <row r="13" spans="1:1" x14ac:dyDescent="0.2">
      <c r="A13" s="2" t="s">
        <v>6</v>
      </c>
    </row>
    <row r="14" spans="1:1" x14ac:dyDescent="0.2">
      <c r="A14" s="2" t="s">
        <v>7</v>
      </c>
    </row>
    <row r="15" spans="1:1" x14ac:dyDescent="0.2">
      <c r="A15" s="2" t="s">
        <v>8</v>
      </c>
    </row>
    <row r="16" spans="1:1" x14ac:dyDescent="0.2">
      <c r="A16" s="2" t="s">
        <v>9</v>
      </c>
    </row>
    <row r="17" spans="1:1" x14ac:dyDescent="0.2">
      <c r="A17" s="2"/>
    </row>
    <row r="18" spans="1:1" ht="17" x14ac:dyDescent="0.2">
      <c r="A18" s="4" t="s">
        <v>10</v>
      </c>
    </row>
    <row r="19" spans="1:1" x14ac:dyDescent="0.2">
      <c r="A19" s="2" t="s">
        <v>11</v>
      </c>
    </row>
    <row r="20" spans="1:1" x14ac:dyDescent="0.2">
      <c r="A20" s="2" t="s">
        <v>12</v>
      </c>
    </row>
    <row r="21" spans="1:1" x14ac:dyDescent="0.2">
      <c r="A21" s="2" t="s">
        <v>13</v>
      </c>
    </row>
    <row r="22" spans="1:1" x14ac:dyDescent="0.2">
      <c r="A22" s="2" t="s">
        <v>14</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33"/>
  <sheetViews>
    <sheetView zoomScaleNormal="100" workbookViewId="0">
      <pane xSplit="3" ySplit="1" topLeftCell="Q2" activePane="bottomRight" state="frozen"/>
      <selection pane="topRight" activeCell="D1" sqref="D1"/>
      <selection pane="bottomLeft" activeCell="A2" sqref="A2"/>
      <selection pane="bottomRight" activeCell="S2" sqref="S2"/>
    </sheetView>
  </sheetViews>
  <sheetFormatPr baseColWidth="10" defaultColWidth="8.6640625" defaultRowHeight="15" x14ac:dyDescent="0.2"/>
  <cols>
    <col min="1" max="2" width="7" customWidth="1"/>
    <col min="3" max="3" width="34" customWidth="1"/>
    <col min="4" max="4" width="11.6640625" customWidth="1"/>
    <col min="5" max="5" width="6" customWidth="1"/>
    <col min="6" max="7" width="15" customWidth="1"/>
    <col min="8" max="8" width="24" customWidth="1"/>
    <col min="9" max="9" width="34" customWidth="1"/>
    <col min="10" max="10" width="26" customWidth="1"/>
    <col min="11" max="11" width="13" customWidth="1"/>
    <col min="12" max="12" width="11" customWidth="1"/>
    <col min="13" max="13" width="18" customWidth="1"/>
    <col min="14" max="14" width="22" customWidth="1"/>
    <col min="15" max="15" width="18" customWidth="1"/>
    <col min="16" max="16" width="30" customWidth="1"/>
    <col min="17" max="17" width="14" customWidth="1"/>
    <col min="18" max="18" width="40" customWidth="1"/>
    <col min="19" max="19" width="12.33203125" customWidth="1"/>
    <col min="20" max="21" width="55" customWidth="1"/>
    <col min="22" max="22" width="9" customWidth="1"/>
    <col min="23" max="23" width="30" customWidth="1"/>
    <col min="24" max="24" width="34" customWidth="1"/>
  </cols>
  <sheetData>
    <row r="1" spans="1:24" ht="28" x14ac:dyDescent="0.2">
      <c r="A1" s="5" t="s">
        <v>15</v>
      </c>
      <c r="B1" s="5" t="s">
        <v>16</v>
      </c>
      <c r="C1" s="5" t="s">
        <v>17</v>
      </c>
      <c r="D1" s="5" t="s">
        <v>18</v>
      </c>
      <c r="E1" s="5" t="s">
        <v>19</v>
      </c>
      <c r="F1" s="5" t="s">
        <v>20</v>
      </c>
      <c r="G1" s="5" t="s">
        <v>21</v>
      </c>
      <c r="H1" s="5" t="s">
        <v>22</v>
      </c>
      <c r="I1" s="5" t="s">
        <v>23</v>
      </c>
      <c r="J1" s="5" t="s">
        <v>24</v>
      </c>
      <c r="K1" s="5" t="s">
        <v>25</v>
      </c>
      <c r="L1" s="5" t="s">
        <v>26</v>
      </c>
      <c r="M1" s="5" t="s">
        <v>27</v>
      </c>
      <c r="N1" s="5" t="s">
        <v>28</v>
      </c>
      <c r="O1" s="5" t="s">
        <v>29</v>
      </c>
      <c r="P1" s="6" t="s">
        <v>30</v>
      </c>
      <c r="Q1" s="6" t="s">
        <v>31</v>
      </c>
      <c r="R1" s="6" t="s">
        <v>32</v>
      </c>
      <c r="S1" s="6" t="s">
        <v>33</v>
      </c>
      <c r="T1" s="6" t="s">
        <v>34</v>
      </c>
      <c r="U1" s="6" t="s">
        <v>35</v>
      </c>
      <c r="V1" s="7" t="s">
        <v>36</v>
      </c>
      <c r="W1" s="7" t="s">
        <v>37</v>
      </c>
      <c r="X1" s="7" t="s">
        <v>38</v>
      </c>
    </row>
    <row r="2" spans="1:24" ht="409" customHeight="1" x14ac:dyDescent="0.2">
      <c r="A2" s="8" t="s">
        <v>39</v>
      </c>
      <c r="B2" s="8" t="s">
        <v>40</v>
      </c>
      <c r="C2" s="8" t="s">
        <v>41</v>
      </c>
      <c r="D2" s="8">
        <v>8</v>
      </c>
      <c r="E2" s="8">
        <v>26</v>
      </c>
      <c r="F2" s="8" t="s">
        <v>42</v>
      </c>
      <c r="G2" s="8" t="s">
        <v>43</v>
      </c>
      <c r="H2" s="8" t="s">
        <v>44</v>
      </c>
      <c r="I2" s="8" t="s">
        <v>45</v>
      </c>
      <c r="J2" s="8" t="s">
        <v>46</v>
      </c>
      <c r="K2" s="8" t="s">
        <v>47</v>
      </c>
      <c r="L2" s="8" t="s">
        <v>48</v>
      </c>
      <c r="M2" s="8" t="s">
        <v>49</v>
      </c>
      <c r="N2" s="8" t="s">
        <v>48</v>
      </c>
      <c r="O2" s="8" t="s">
        <v>48</v>
      </c>
      <c r="P2" s="9" t="s">
        <v>50</v>
      </c>
      <c r="Q2" s="10"/>
      <c r="R2" s="10" t="s">
        <v>51</v>
      </c>
      <c r="S2" s="10">
        <v>4</v>
      </c>
      <c r="T2" s="16" t="s">
        <v>52</v>
      </c>
      <c r="U2" s="10" t="s">
        <v>53</v>
      </c>
      <c r="V2" s="11"/>
      <c r="W2" s="11"/>
      <c r="X2" s="11"/>
    </row>
    <row r="3" spans="1:24" ht="90" customHeight="1" x14ac:dyDescent="0.2">
      <c r="A3" s="8" t="s">
        <v>54</v>
      </c>
      <c r="B3" s="8" t="s">
        <v>40</v>
      </c>
      <c r="C3" s="8" t="s">
        <v>55</v>
      </c>
      <c r="D3" s="8">
        <v>11</v>
      </c>
      <c r="E3" s="8">
        <v>36</v>
      </c>
      <c r="F3" s="8" t="s">
        <v>56</v>
      </c>
      <c r="G3" s="8" t="s">
        <v>43</v>
      </c>
      <c r="H3" s="8" t="s">
        <v>44</v>
      </c>
      <c r="I3" s="8" t="s">
        <v>57</v>
      </c>
      <c r="J3" s="8" t="s">
        <v>46</v>
      </c>
      <c r="K3" s="8" t="s">
        <v>47</v>
      </c>
      <c r="L3" s="8" t="s">
        <v>48</v>
      </c>
      <c r="M3" s="8" t="s">
        <v>49</v>
      </c>
      <c r="N3" s="8" t="s">
        <v>48</v>
      </c>
      <c r="O3" s="8" t="s">
        <v>48</v>
      </c>
      <c r="P3" s="9" t="s">
        <v>50</v>
      </c>
      <c r="Q3" s="10"/>
      <c r="R3" s="10" t="s">
        <v>51</v>
      </c>
      <c r="S3" s="10">
        <v>4</v>
      </c>
      <c r="T3" s="10" t="s">
        <v>58</v>
      </c>
      <c r="U3" s="10" t="s">
        <v>59</v>
      </c>
      <c r="V3" s="11"/>
      <c r="W3" s="11"/>
      <c r="X3" s="11"/>
    </row>
    <row r="4" spans="1:24" ht="90" customHeight="1" x14ac:dyDescent="0.2">
      <c r="A4" s="8" t="s">
        <v>60</v>
      </c>
      <c r="B4" s="8" t="s">
        <v>40</v>
      </c>
      <c r="C4" s="8" t="s">
        <v>61</v>
      </c>
      <c r="D4" s="8">
        <v>14</v>
      </c>
      <c r="E4" s="8">
        <v>50</v>
      </c>
      <c r="F4" s="8" t="s">
        <v>62</v>
      </c>
      <c r="G4" s="8" t="s">
        <v>43</v>
      </c>
      <c r="H4" s="8" t="s">
        <v>44</v>
      </c>
      <c r="I4" s="8" t="s">
        <v>63</v>
      </c>
      <c r="J4" s="8" t="s">
        <v>46</v>
      </c>
      <c r="K4" s="8" t="s">
        <v>47</v>
      </c>
      <c r="L4" s="8" t="s">
        <v>48</v>
      </c>
      <c r="M4" s="8" t="s">
        <v>49</v>
      </c>
      <c r="N4" s="8" t="s">
        <v>48</v>
      </c>
      <c r="O4" s="8" t="s">
        <v>48</v>
      </c>
      <c r="P4" s="9" t="s">
        <v>50</v>
      </c>
      <c r="Q4" s="10"/>
      <c r="R4" s="10" t="s">
        <v>51</v>
      </c>
      <c r="S4" s="10">
        <v>4</v>
      </c>
      <c r="T4" s="10" t="s">
        <v>64</v>
      </c>
      <c r="U4" s="10" t="s">
        <v>65</v>
      </c>
      <c r="V4" s="11"/>
      <c r="W4" s="11"/>
      <c r="X4" s="11"/>
    </row>
    <row r="5" spans="1:24" ht="90" customHeight="1" x14ac:dyDescent="0.2">
      <c r="A5" s="8" t="s">
        <v>66</v>
      </c>
      <c r="B5" s="8" t="s">
        <v>40</v>
      </c>
      <c r="C5" s="8" t="s">
        <v>55</v>
      </c>
      <c r="D5" s="8">
        <v>6</v>
      </c>
      <c r="E5" s="8">
        <v>20</v>
      </c>
      <c r="F5" s="8" t="s">
        <v>67</v>
      </c>
      <c r="G5" s="8" t="s">
        <v>43</v>
      </c>
      <c r="H5" s="8" t="s">
        <v>44</v>
      </c>
      <c r="I5" s="8" t="s">
        <v>57</v>
      </c>
      <c r="J5" s="8" t="s">
        <v>46</v>
      </c>
      <c r="K5" s="8" t="s">
        <v>47</v>
      </c>
      <c r="L5" s="8" t="s">
        <v>48</v>
      </c>
      <c r="M5" s="8" t="s">
        <v>49</v>
      </c>
      <c r="N5" s="8" t="s">
        <v>48</v>
      </c>
      <c r="O5" s="8" t="s">
        <v>48</v>
      </c>
      <c r="P5" s="9" t="s">
        <v>50</v>
      </c>
      <c r="Q5" s="10"/>
      <c r="R5" s="10" t="s">
        <v>51</v>
      </c>
      <c r="S5" s="10">
        <v>4</v>
      </c>
      <c r="T5" s="10" t="s">
        <v>68</v>
      </c>
      <c r="U5" s="10" t="s">
        <v>69</v>
      </c>
      <c r="V5" s="11"/>
      <c r="W5" s="11"/>
      <c r="X5" s="11"/>
    </row>
    <row r="6" spans="1:24" ht="90" customHeight="1" x14ac:dyDescent="0.2">
      <c r="A6" s="8" t="s">
        <v>70</v>
      </c>
      <c r="B6" s="8" t="s">
        <v>40</v>
      </c>
      <c r="C6" s="8" t="s">
        <v>61</v>
      </c>
      <c r="D6" s="8">
        <v>15</v>
      </c>
      <c r="E6" s="8">
        <v>55</v>
      </c>
      <c r="F6" s="8" t="s">
        <v>71</v>
      </c>
      <c r="G6" s="8" t="s">
        <v>43</v>
      </c>
      <c r="H6" s="8" t="s">
        <v>44</v>
      </c>
      <c r="I6" s="8" t="s">
        <v>63</v>
      </c>
      <c r="J6" s="8" t="s">
        <v>46</v>
      </c>
      <c r="K6" s="8" t="s">
        <v>47</v>
      </c>
      <c r="L6" s="8" t="s">
        <v>48</v>
      </c>
      <c r="M6" s="8" t="s">
        <v>49</v>
      </c>
      <c r="N6" s="8" t="s">
        <v>48</v>
      </c>
      <c r="O6" s="8" t="s">
        <v>48</v>
      </c>
      <c r="P6" s="9" t="s">
        <v>50</v>
      </c>
      <c r="Q6" s="10"/>
      <c r="R6" s="10" t="s">
        <v>51</v>
      </c>
      <c r="S6" s="10">
        <v>4</v>
      </c>
      <c r="T6" s="10" t="s">
        <v>72</v>
      </c>
      <c r="U6" s="10" t="s">
        <v>73</v>
      </c>
      <c r="V6" s="11"/>
      <c r="W6" s="11"/>
      <c r="X6" s="11"/>
    </row>
    <row r="7" spans="1:24" ht="90" customHeight="1" x14ac:dyDescent="0.2">
      <c r="A7" s="8" t="s">
        <v>74</v>
      </c>
      <c r="B7" s="8" t="s">
        <v>40</v>
      </c>
      <c r="C7" s="8" t="s">
        <v>55</v>
      </c>
      <c r="D7" s="8">
        <v>9</v>
      </c>
      <c r="E7" s="8">
        <v>29</v>
      </c>
      <c r="F7" s="8" t="s">
        <v>75</v>
      </c>
      <c r="G7" s="8" t="s">
        <v>43</v>
      </c>
      <c r="H7" s="8" t="s">
        <v>44</v>
      </c>
      <c r="I7" s="8" t="s">
        <v>57</v>
      </c>
      <c r="J7" s="8" t="s">
        <v>46</v>
      </c>
      <c r="K7" s="8" t="s">
        <v>47</v>
      </c>
      <c r="L7" s="8" t="s">
        <v>48</v>
      </c>
      <c r="M7" s="8" t="s">
        <v>49</v>
      </c>
      <c r="N7" s="8" t="s">
        <v>48</v>
      </c>
      <c r="O7" s="8" t="s">
        <v>48</v>
      </c>
      <c r="P7" s="9" t="s">
        <v>50</v>
      </c>
      <c r="Q7" s="10"/>
      <c r="R7" s="10" t="s">
        <v>51</v>
      </c>
      <c r="S7" s="10">
        <v>4</v>
      </c>
      <c r="T7" s="10" t="s">
        <v>76</v>
      </c>
      <c r="U7" s="10" t="s">
        <v>77</v>
      </c>
      <c r="V7" s="11"/>
      <c r="W7" s="11"/>
      <c r="X7" s="11"/>
    </row>
    <row r="8" spans="1:24" ht="90" customHeight="1" x14ac:dyDescent="0.2">
      <c r="A8" s="8" t="s">
        <v>78</v>
      </c>
      <c r="B8" s="8" t="s">
        <v>40</v>
      </c>
      <c r="C8" s="8" t="s">
        <v>61</v>
      </c>
      <c r="D8" s="8">
        <v>12</v>
      </c>
      <c r="E8" s="8">
        <v>40</v>
      </c>
      <c r="F8" s="8" t="s">
        <v>79</v>
      </c>
      <c r="G8" s="8" t="s">
        <v>43</v>
      </c>
      <c r="H8" s="8" t="s">
        <v>44</v>
      </c>
      <c r="I8" s="8" t="s">
        <v>63</v>
      </c>
      <c r="J8" s="8" t="s">
        <v>46</v>
      </c>
      <c r="K8" s="8" t="s">
        <v>47</v>
      </c>
      <c r="L8" s="8" t="s">
        <v>48</v>
      </c>
      <c r="M8" s="8" t="s">
        <v>49</v>
      </c>
      <c r="N8" s="8" t="s">
        <v>48</v>
      </c>
      <c r="O8" s="8" t="s">
        <v>48</v>
      </c>
      <c r="P8" s="9" t="s">
        <v>50</v>
      </c>
      <c r="Q8" s="10"/>
      <c r="R8" s="10" t="s">
        <v>51</v>
      </c>
      <c r="S8" s="10">
        <v>4</v>
      </c>
      <c r="T8" s="10" t="s">
        <v>80</v>
      </c>
      <c r="U8" s="10" t="s">
        <v>81</v>
      </c>
      <c r="V8" s="11"/>
      <c r="W8" s="11"/>
      <c r="X8" s="11"/>
    </row>
    <row r="9" spans="1:24" ht="90" customHeight="1" x14ac:dyDescent="0.2">
      <c r="A9" s="8" t="s">
        <v>82</v>
      </c>
      <c r="B9" s="8" t="s">
        <v>40</v>
      </c>
      <c r="C9" s="8" t="s">
        <v>55</v>
      </c>
      <c r="D9" s="8">
        <v>7</v>
      </c>
      <c r="E9" s="8">
        <v>23</v>
      </c>
      <c r="F9" s="8" t="s">
        <v>83</v>
      </c>
      <c r="G9" s="8" t="s">
        <v>43</v>
      </c>
      <c r="H9" s="8" t="s">
        <v>44</v>
      </c>
      <c r="I9" s="8" t="s">
        <v>57</v>
      </c>
      <c r="J9" s="8" t="s">
        <v>46</v>
      </c>
      <c r="K9" s="8" t="s">
        <v>47</v>
      </c>
      <c r="L9" s="8" t="s">
        <v>48</v>
      </c>
      <c r="M9" s="8" t="s">
        <v>49</v>
      </c>
      <c r="N9" s="8" t="s">
        <v>48</v>
      </c>
      <c r="O9" s="8" t="s">
        <v>48</v>
      </c>
      <c r="P9" s="9" t="s">
        <v>50</v>
      </c>
      <c r="Q9" s="10"/>
      <c r="R9" s="10" t="s">
        <v>51</v>
      </c>
      <c r="S9" s="10">
        <v>4</v>
      </c>
      <c r="T9" s="10" t="s">
        <v>84</v>
      </c>
      <c r="U9" s="10" t="s">
        <v>85</v>
      </c>
      <c r="V9" s="11"/>
      <c r="W9" s="11"/>
      <c r="X9" s="11"/>
    </row>
    <row r="10" spans="1:24" ht="90" customHeight="1" x14ac:dyDescent="0.2">
      <c r="A10" s="8" t="s">
        <v>86</v>
      </c>
      <c r="B10" s="8" t="s">
        <v>87</v>
      </c>
      <c r="C10" s="8" t="s">
        <v>88</v>
      </c>
      <c r="D10" s="8">
        <v>10</v>
      </c>
      <c r="E10" s="8">
        <v>32</v>
      </c>
      <c r="F10" s="8" t="s">
        <v>42</v>
      </c>
      <c r="G10" s="8" t="s">
        <v>43</v>
      </c>
      <c r="H10" s="8" t="s">
        <v>44</v>
      </c>
      <c r="I10" s="8" t="s">
        <v>89</v>
      </c>
      <c r="J10" s="8" t="s">
        <v>46</v>
      </c>
      <c r="K10" s="8" t="s">
        <v>47</v>
      </c>
      <c r="L10" s="8" t="s">
        <v>90</v>
      </c>
      <c r="M10" s="8" t="s">
        <v>49</v>
      </c>
      <c r="N10" s="8" t="s">
        <v>48</v>
      </c>
      <c r="O10" s="8" t="s">
        <v>48</v>
      </c>
      <c r="P10" s="9" t="s">
        <v>91</v>
      </c>
      <c r="Q10" s="10"/>
      <c r="R10" s="10" t="s">
        <v>92</v>
      </c>
      <c r="S10" s="10"/>
      <c r="T10" s="10" t="s">
        <v>93</v>
      </c>
      <c r="U10" s="10" t="s">
        <v>94</v>
      </c>
      <c r="V10" s="11"/>
      <c r="W10" s="11"/>
      <c r="X10" s="11"/>
    </row>
    <row r="11" spans="1:24" ht="90" customHeight="1" x14ac:dyDescent="0.2">
      <c r="A11" s="8" t="s">
        <v>95</v>
      </c>
      <c r="B11" s="8" t="s">
        <v>87</v>
      </c>
      <c r="C11" s="8" t="s">
        <v>96</v>
      </c>
      <c r="D11" s="8">
        <v>13</v>
      </c>
      <c r="E11" s="8">
        <v>45</v>
      </c>
      <c r="F11" s="8" t="s">
        <v>56</v>
      </c>
      <c r="G11" s="8" t="s">
        <v>43</v>
      </c>
      <c r="H11" s="8" t="s">
        <v>44</v>
      </c>
      <c r="I11" s="8" t="s">
        <v>97</v>
      </c>
      <c r="J11" s="8" t="s">
        <v>46</v>
      </c>
      <c r="K11" s="8" t="s">
        <v>47</v>
      </c>
      <c r="L11" s="8" t="s">
        <v>90</v>
      </c>
      <c r="M11" s="8" t="s">
        <v>49</v>
      </c>
      <c r="N11" s="8" t="s">
        <v>48</v>
      </c>
      <c r="O11" s="8" t="s">
        <v>48</v>
      </c>
      <c r="P11" s="9" t="s">
        <v>91</v>
      </c>
      <c r="Q11" s="10"/>
      <c r="R11" s="10" t="s">
        <v>92</v>
      </c>
      <c r="S11" s="10"/>
      <c r="T11" s="10" t="s">
        <v>98</v>
      </c>
      <c r="U11" s="10" t="s">
        <v>99</v>
      </c>
      <c r="V11" s="11"/>
      <c r="W11" s="11"/>
      <c r="X11" s="11"/>
    </row>
    <row r="12" spans="1:24" ht="90" customHeight="1" x14ac:dyDescent="0.2">
      <c r="A12" s="8" t="s">
        <v>100</v>
      </c>
      <c r="B12" s="8" t="s">
        <v>87</v>
      </c>
      <c r="C12" s="8" t="s">
        <v>88</v>
      </c>
      <c r="D12" s="8">
        <v>7</v>
      </c>
      <c r="E12" s="8">
        <v>23</v>
      </c>
      <c r="F12" s="8" t="s">
        <v>62</v>
      </c>
      <c r="G12" s="8" t="s">
        <v>43</v>
      </c>
      <c r="H12" s="8" t="s">
        <v>44</v>
      </c>
      <c r="I12" s="8" t="s">
        <v>89</v>
      </c>
      <c r="J12" s="8" t="s">
        <v>46</v>
      </c>
      <c r="K12" s="8" t="s">
        <v>47</v>
      </c>
      <c r="L12" s="8" t="s">
        <v>90</v>
      </c>
      <c r="M12" s="8" t="s">
        <v>49</v>
      </c>
      <c r="N12" s="8" t="s">
        <v>48</v>
      </c>
      <c r="O12" s="8" t="s">
        <v>48</v>
      </c>
      <c r="P12" s="9" t="s">
        <v>101</v>
      </c>
      <c r="Q12" s="10"/>
      <c r="R12" s="10" t="s">
        <v>102</v>
      </c>
      <c r="S12" s="10"/>
      <c r="T12" s="10" t="s">
        <v>103</v>
      </c>
      <c r="U12" s="10" t="s">
        <v>104</v>
      </c>
      <c r="V12" s="11"/>
      <c r="W12" s="11"/>
      <c r="X12" s="11"/>
    </row>
    <row r="13" spans="1:24" ht="90" customHeight="1" x14ac:dyDescent="0.2">
      <c r="A13" s="8" t="s">
        <v>105</v>
      </c>
      <c r="B13" s="8" t="s">
        <v>87</v>
      </c>
      <c r="C13" s="8" t="s">
        <v>96</v>
      </c>
      <c r="D13" s="8">
        <v>15</v>
      </c>
      <c r="E13" s="8">
        <v>55</v>
      </c>
      <c r="F13" s="8" t="s">
        <v>67</v>
      </c>
      <c r="G13" s="8" t="s">
        <v>43</v>
      </c>
      <c r="H13" s="8" t="s">
        <v>44</v>
      </c>
      <c r="I13" s="8" t="s">
        <v>97</v>
      </c>
      <c r="J13" s="8" t="s">
        <v>46</v>
      </c>
      <c r="K13" s="8" t="s">
        <v>47</v>
      </c>
      <c r="L13" s="8" t="s">
        <v>90</v>
      </c>
      <c r="M13" s="8" t="s">
        <v>49</v>
      </c>
      <c r="N13" s="8" t="s">
        <v>48</v>
      </c>
      <c r="O13" s="8" t="s">
        <v>48</v>
      </c>
      <c r="P13" s="9" t="s">
        <v>91</v>
      </c>
      <c r="Q13" s="10"/>
      <c r="R13" s="10" t="s">
        <v>92</v>
      </c>
      <c r="S13" s="10"/>
      <c r="T13" s="10" t="s">
        <v>106</v>
      </c>
      <c r="U13" s="10" t="s">
        <v>107</v>
      </c>
      <c r="V13" s="11"/>
      <c r="W13" s="11"/>
      <c r="X13" s="11"/>
    </row>
    <row r="14" spans="1:24" ht="90" customHeight="1" x14ac:dyDescent="0.2">
      <c r="A14" s="8" t="s">
        <v>108</v>
      </c>
      <c r="B14" s="8" t="s">
        <v>87</v>
      </c>
      <c r="C14" s="8" t="s">
        <v>88</v>
      </c>
      <c r="D14" s="8">
        <v>9</v>
      </c>
      <c r="E14" s="8">
        <v>29</v>
      </c>
      <c r="F14" s="8" t="s">
        <v>71</v>
      </c>
      <c r="G14" s="8" t="s">
        <v>43</v>
      </c>
      <c r="H14" s="8" t="s">
        <v>44</v>
      </c>
      <c r="I14" s="8" t="s">
        <v>89</v>
      </c>
      <c r="J14" s="8" t="s">
        <v>46</v>
      </c>
      <c r="K14" s="8" t="s">
        <v>47</v>
      </c>
      <c r="L14" s="8" t="s">
        <v>90</v>
      </c>
      <c r="M14" s="8" t="s">
        <v>49</v>
      </c>
      <c r="N14" s="8" t="s">
        <v>48</v>
      </c>
      <c r="O14" s="8" t="s">
        <v>48</v>
      </c>
      <c r="P14" s="9" t="s">
        <v>101</v>
      </c>
      <c r="Q14" s="10"/>
      <c r="R14" s="10" t="s">
        <v>102</v>
      </c>
      <c r="S14" s="10"/>
      <c r="T14" s="10" t="s">
        <v>109</v>
      </c>
      <c r="U14" s="10" t="s">
        <v>110</v>
      </c>
      <c r="V14" s="11"/>
      <c r="W14" s="11"/>
      <c r="X14" s="11"/>
    </row>
    <row r="15" spans="1:24" ht="90" customHeight="1" x14ac:dyDescent="0.2">
      <c r="A15" s="8" t="s">
        <v>111</v>
      </c>
      <c r="B15" s="8" t="s">
        <v>87</v>
      </c>
      <c r="C15" s="8" t="s">
        <v>96</v>
      </c>
      <c r="D15" s="8">
        <v>12</v>
      </c>
      <c r="E15" s="8">
        <v>40</v>
      </c>
      <c r="F15" s="8" t="s">
        <v>75</v>
      </c>
      <c r="G15" s="8" t="s">
        <v>43</v>
      </c>
      <c r="H15" s="8" t="s">
        <v>44</v>
      </c>
      <c r="I15" s="8" t="s">
        <v>97</v>
      </c>
      <c r="J15" s="8" t="s">
        <v>46</v>
      </c>
      <c r="K15" s="8" t="s">
        <v>47</v>
      </c>
      <c r="L15" s="8" t="s">
        <v>90</v>
      </c>
      <c r="M15" s="8" t="s">
        <v>49</v>
      </c>
      <c r="N15" s="8" t="s">
        <v>48</v>
      </c>
      <c r="O15" s="8" t="s">
        <v>48</v>
      </c>
      <c r="P15" s="9" t="s">
        <v>101</v>
      </c>
      <c r="Q15" s="10"/>
      <c r="R15" s="10" t="s">
        <v>102</v>
      </c>
      <c r="S15" s="10"/>
      <c r="T15" s="10" t="s">
        <v>112</v>
      </c>
      <c r="U15" s="10" t="s">
        <v>113</v>
      </c>
      <c r="V15" s="11"/>
      <c r="W15" s="11"/>
      <c r="X15" s="11"/>
    </row>
    <row r="16" spans="1:24" ht="90" customHeight="1" x14ac:dyDescent="0.2">
      <c r="A16" s="8" t="s">
        <v>114</v>
      </c>
      <c r="B16" s="8" t="s">
        <v>87</v>
      </c>
      <c r="C16" s="8" t="s">
        <v>88</v>
      </c>
      <c r="D16" s="8">
        <v>6</v>
      </c>
      <c r="E16" s="8">
        <v>20</v>
      </c>
      <c r="F16" s="8" t="s">
        <v>79</v>
      </c>
      <c r="G16" s="8" t="s">
        <v>43</v>
      </c>
      <c r="H16" s="8" t="s">
        <v>44</v>
      </c>
      <c r="I16" s="8" t="s">
        <v>89</v>
      </c>
      <c r="J16" s="8" t="s">
        <v>46</v>
      </c>
      <c r="K16" s="8" t="s">
        <v>47</v>
      </c>
      <c r="L16" s="8" t="s">
        <v>90</v>
      </c>
      <c r="M16" s="8" t="s">
        <v>49</v>
      </c>
      <c r="N16" s="8" t="s">
        <v>48</v>
      </c>
      <c r="O16" s="8" t="s">
        <v>48</v>
      </c>
      <c r="P16" s="9" t="s">
        <v>101</v>
      </c>
      <c r="Q16" s="10"/>
      <c r="R16" s="10" t="s">
        <v>102</v>
      </c>
      <c r="S16" s="10"/>
      <c r="T16" s="10" t="s">
        <v>115</v>
      </c>
      <c r="U16" s="10" t="s">
        <v>116</v>
      </c>
      <c r="V16" s="11"/>
      <c r="W16" s="11"/>
      <c r="X16" s="11"/>
    </row>
    <row r="17" spans="1:24" ht="90" customHeight="1" x14ac:dyDescent="0.2">
      <c r="A17" s="8" t="s">
        <v>117</v>
      </c>
      <c r="B17" s="8" t="s">
        <v>87</v>
      </c>
      <c r="C17" s="8" t="s">
        <v>96</v>
      </c>
      <c r="D17" s="8">
        <v>14</v>
      </c>
      <c r="E17" s="8">
        <v>50</v>
      </c>
      <c r="F17" s="8" t="s">
        <v>83</v>
      </c>
      <c r="G17" s="8" t="s">
        <v>43</v>
      </c>
      <c r="H17" s="8" t="s">
        <v>44</v>
      </c>
      <c r="I17" s="8" t="s">
        <v>97</v>
      </c>
      <c r="J17" s="8" t="s">
        <v>46</v>
      </c>
      <c r="K17" s="8" t="s">
        <v>47</v>
      </c>
      <c r="L17" s="8" t="s">
        <v>90</v>
      </c>
      <c r="M17" s="8" t="s">
        <v>49</v>
      </c>
      <c r="N17" s="8" t="s">
        <v>48</v>
      </c>
      <c r="O17" s="8" t="s">
        <v>48</v>
      </c>
      <c r="P17" s="9" t="s">
        <v>101</v>
      </c>
      <c r="Q17" s="10"/>
      <c r="R17" s="10" t="s">
        <v>102</v>
      </c>
      <c r="S17" s="10"/>
      <c r="T17" s="10" t="s">
        <v>118</v>
      </c>
      <c r="U17" s="10" t="s">
        <v>119</v>
      </c>
      <c r="V17" s="11"/>
      <c r="W17" s="11"/>
      <c r="X17" s="11"/>
    </row>
    <row r="18" spans="1:24" ht="90" customHeight="1" x14ac:dyDescent="0.2">
      <c r="A18" s="8" t="s">
        <v>120</v>
      </c>
      <c r="B18" s="8" t="s">
        <v>121</v>
      </c>
      <c r="C18" s="8" t="s">
        <v>122</v>
      </c>
      <c r="D18" s="8">
        <v>14</v>
      </c>
      <c r="E18" s="8">
        <v>50</v>
      </c>
      <c r="F18" s="8" t="s">
        <v>42</v>
      </c>
      <c r="G18" s="8" t="s">
        <v>43</v>
      </c>
      <c r="H18" s="8" t="s">
        <v>44</v>
      </c>
      <c r="I18" s="8" t="s">
        <v>123</v>
      </c>
      <c r="J18" s="8" t="s">
        <v>46</v>
      </c>
      <c r="K18" s="8" t="s">
        <v>124</v>
      </c>
      <c r="L18" s="8" t="s">
        <v>48</v>
      </c>
      <c r="M18" s="8" t="s">
        <v>49</v>
      </c>
      <c r="N18" s="8" t="s">
        <v>48</v>
      </c>
      <c r="O18" s="8" t="s">
        <v>48</v>
      </c>
      <c r="P18" s="9" t="s">
        <v>125</v>
      </c>
      <c r="Q18" s="10"/>
      <c r="R18" s="10" t="s">
        <v>126</v>
      </c>
      <c r="S18" s="10"/>
      <c r="T18" s="10" t="s">
        <v>127</v>
      </c>
      <c r="U18" s="10" t="s">
        <v>128</v>
      </c>
      <c r="V18" s="11"/>
      <c r="W18" s="11"/>
      <c r="X18" s="11"/>
    </row>
    <row r="19" spans="1:24" ht="90" customHeight="1" x14ac:dyDescent="0.2">
      <c r="A19" s="8" t="s">
        <v>129</v>
      </c>
      <c r="B19" s="8" t="s">
        <v>121</v>
      </c>
      <c r="C19" s="8" t="s">
        <v>122</v>
      </c>
      <c r="D19" s="8">
        <v>12</v>
      </c>
      <c r="E19" s="8">
        <v>40</v>
      </c>
      <c r="F19" s="8" t="s">
        <v>56</v>
      </c>
      <c r="G19" s="8" t="s">
        <v>43</v>
      </c>
      <c r="H19" s="8" t="s">
        <v>44</v>
      </c>
      <c r="I19" s="8" t="s">
        <v>123</v>
      </c>
      <c r="J19" s="8" t="s">
        <v>46</v>
      </c>
      <c r="K19" s="8" t="s">
        <v>47</v>
      </c>
      <c r="L19" s="8" t="s">
        <v>48</v>
      </c>
      <c r="M19" s="8" t="s">
        <v>49</v>
      </c>
      <c r="N19" s="8" t="s">
        <v>48</v>
      </c>
      <c r="O19" s="8" t="s">
        <v>48</v>
      </c>
      <c r="P19" s="9" t="s">
        <v>125</v>
      </c>
      <c r="Q19" s="10"/>
      <c r="R19" s="10" t="s">
        <v>126</v>
      </c>
      <c r="S19" s="10"/>
      <c r="T19" s="10" t="s">
        <v>130</v>
      </c>
      <c r="U19" s="10" t="s">
        <v>128</v>
      </c>
      <c r="V19" s="11"/>
      <c r="W19" s="11"/>
      <c r="X19" s="11"/>
    </row>
    <row r="20" spans="1:24" ht="90" customHeight="1" x14ac:dyDescent="0.2">
      <c r="A20" s="8" t="s">
        <v>131</v>
      </c>
      <c r="B20" s="8" t="s">
        <v>121</v>
      </c>
      <c r="C20" s="8" t="s">
        <v>122</v>
      </c>
      <c r="D20" s="8">
        <v>6</v>
      </c>
      <c r="E20" s="8">
        <v>20</v>
      </c>
      <c r="F20" s="8" t="s">
        <v>62</v>
      </c>
      <c r="G20" s="8" t="s">
        <v>43</v>
      </c>
      <c r="H20" s="8" t="s">
        <v>44</v>
      </c>
      <c r="I20" s="8" t="s">
        <v>123</v>
      </c>
      <c r="J20" s="8" t="s">
        <v>46</v>
      </c>
      <c r="K20" s="8" t="s">
        <v>124</v>
      </c>
      <c r="L20" s="8" t="s">
        <v>48</v>
      </c>
      <c r="M20" s="8" t="s">
        <v>49</v>
      </c>
      <c r="N20" s="8" t="s">
        <v>48</v>
      </c>
      <c r="O20" s="8" t="s">
        <v>48</v>
      </c>
      <c r="P20" s="9" t="s">
        <v>125</v>
      </c>
      <c r="Q20" s="10"/>
      <c r="R20" s="10" t="s">
        <v>126</v>
      </c>
      <c r="S20" s="10"/>
      <c r="T20" s="10" t="s">
        <v>132</v>
      </c>
      <c r="U20" s="10" t="s">
        <v>128</v>
      </c>
      <c r="V20" s="11"/>
      <c r="W20" s="11"/>
      <c r="X20" s="11"/>
    </row>
    <row r="21" spans="1:24" ht="90" customHeight="1" x14ac:dyDescent="0.2">
      <c r="A21" s="8" t="s">
        <v>133</v>
      </c>
      <c r="B21" s="8" t="s">
        <v>121</v>
      </c>
      <c r="C21" s="8" t="s">
        <v>122</v>
      </c>
      <c r="D21" s="8">
        <v>15</v>
      </c>
      <c r="E21" s="8">
        <v>55</v>
      </c>
      <c r="F21" s="8" t="s">
        <v>67</v>
      </c>
      <c r="G21" s="8" t="s">
        <v>43</v>
      </c>
      <c r="H21" s="8" t="s">
        <v>44</v>
      </c>
      <c r="I21" s="8" t="s">
        <v>123</v>
      </c>
      <c r="J21" s="8" t="s">
        <v>46</v>
      </c>
      <c r="K21" s="8" t="s">
        <v>47</v>
      </c>
      <c r="L21" s="8" t="s">
        <v>48</v>
      </c>
      <c r="M21" s="8" t="s">
        <v>49</v>
      </c>
      <c r="N21" s="8" t="s">
        <v>48</v>
      </c>
      <c r="O21" s="8" t="s">
        <v>48</v>
      </c>
      <c r="P21" s="9" t="s">
        <v>125</v>
      </c>
      <c r="Q21" s="10"/>
      <c r="R21" s="10" t="s">
        <v>126</v>
      </c>
      <c r="S21" s="10"/>
      <c r="T21" s="10" t="s">
        <v>134</v>
      </c>
      <c r="U21" s="10" t="s">
        <v>128</v>
      </c>
      <c r="V21" s="11"/>
      <c r="W21" s="11"/>
      <c r="X21" s="11"/>
    </row>
    <row r="22" spans="1:24" ht="90" customHeight="1" x14ac:dyDescent="0.2">
      <c r="A22" s="8" t="s">
        <v>135</v>
      </c>
      <c r="B22" s="8" t="s">
        <v>121</v>
      </c>
      <c r="C22" s="8" t="s">
        <v>122</v>
      </c>
      <c r="D22" s="8">
        <v>6</v>
      </c>
      <c r="E22" s="8">
        <v>20</v>
      </c>
      <c r="F22" s="8" t="s">
        <v>71</v>
      </c>
      <c r="G22" s="8" t="s">
        <v>43</v>
      </c>
      <c r="H22" s="8" t="s">
        <v>44</v>
      </c>
      <c r="I22" s="8" t="s">
        <v>123</v>
      </c>
      <c r="J22" s="8" t="s">
        <v>46</v>
      </c>
      <c r="K22" s="8" t="s">
        <v>124</v>
      </c>
      <c r="L22" s="8" t="s">
        <v>48</v>
      </c>
      <c r="M22" s="8" t="s">
        <v>49</v>
      </c>
      <c r="N22" s="8" t="s">
        <v>48</v>
      </c>
      <c r="O22" s="8" t="s">
        <v>48</v>
      </c>
      <c r="P22" s="9" t="s">
        <v>125</v>
      </c>
      <c r="Q22" s="10"/>
      <c r="R22" s="10" t="s">
        <v>126</v>
      </c>
      <c r="S22" s="10"/>
      <c r="T22" s="10" t="s">
        <v>136</v>
      </c>
      <c r="U22" s="10" t="s">
        <v>128</v>
      </c>
      <c r="V22" s="11"/>
      <c r="W22" s="11"/>
      <c r="X22" s="11"/>
    </row>
    <row r="23" spans="1:24" ht="90" customHeight="1" x14ac:dyDescent="0.2">
      <c r="A23" s="8" t="s">
        <v>137</v>
      </c>
      <c r="B23" s="8" t="s">
        <v>121</v>
      </c>
      <c r="C23" s="8" t="s">
        <v>122</v>
      </c>
      <c r="D23" s="8">
        <v>11</v>
      </c>
      <c r="E23" s="8">
        <v>36</v>
      </c>
      <c r="F23" s="8" t="s">
        <v>75</v>
      </c>
      <c r="G23" s="8" t="s">
        <v>43</v>
      </c>
      <c r="H23" s="8" t="s">
        <v>44</v>
      </c>
      <c r="I23" s="8" t="s">
        <v>123</v>
      </c>
      <c r="J23" s="8" t="s">
        <v>46</v>
      </c>
      <c r="K23" s="8" t="s">
        <v>47</v>
      </c>
      <c r="L23" s="8" t="s">
        <v>48</v>
      </c>
      <c r="M23" s="8" t="s">
        <v>49</v>
      </c>
      <c r="N23" s="8" t="s">
        <v>48</v>
      </c>
      <c r="O23" s="8" t="s">
        <v>48</v>
      </c>
      <c r="P23" s="9" t="s">
        <v>125</v>
      </c>
      <c r="Q23" s="10"/>
      <c r="R23" s="10" t="s">
        <v>126</v>
      </c>
      <c r="S23" s="10"/>
      <c r="T23" s="10" t="s">
        <v>138</v>
      </c>
      <c r="U23" s="10" t="s">
        <v>128</v>
      </c>
      <c r="V23" s="11"/>
      <c r="W23" s="11"/>
      <c r="X23" s="11"/>
    </row>
    <row r="24" spans="1:24" ht="90" customHeight="1" x14ac:dyDescent="0.2">
      <c r="A24" s="8" t="s">
        <v>139</v>
      </c>
      <c r="B24" s="8" t="s">
        <v>140</v>
      </c>
      <c r="C24" s="8" t="s">
        <v>141</v>
      </c>
      <c r="D24" s="8">
        <v>11</v>
      </c>
      <c r="E24" s="8">
        <v>36</v>
      </c>
      <c r="F24" s="8" t="s">
        <v>42</v>
      </c>
      <c r="G24" s="8" t="s">
        <v>43</v>
      </c>
      <c r="H24" s="8" t="s">
        <v>44</v>
      </c>
      <c r="I24" s="8" t="s">
        <v>57</v>
      </c>
      <c r="J24" s="8" t="s">
        <v>142</v>
      </c>
      <c r="K24" s="8" t="s">
        <v>47</v>
      </c>
      <c r="L24" s="8" t="s">
        <v>48</v>
      </c>
      <c r="M24" s="8" t="s">
        <v>49</v>
      </c>
      <c r="N24" s="8" t="s">
        <v>48</v>
      </c>
      <c r="O24" s="8" t="s">
        <v>48</v>
      </c>
      <c r="P24" s="9" t="s">
        <v>143</v>
      </c>
      <c r="Q24" s="10"/>
      <c r="R24" s="10" t="s">
        <v>144</v>
      </c>
      <c r="S24" s="10">
        <v>1</v>
      </c>
      <c r="T24" s="10" t="s">
        <v>145</v>
      </c>
      <c r="U24" s="10" t="s">
        <v>146</v>
      </c>
      <c r="V24" s="11"/>
      <c r="W24" s="11"/>
      <c r="X24" s="11"/>
    </row>
    <row r="25" spans="1:24" ht="90" customHeight="1" x14ac:dyDescent="0.2">
      <c r="A25" s="8" t="s">
        <v>147</v>
      </c>
      <c r="B25" s="8" t="s">
        <v>140</v>
      </c>
      <c r="C25" s="8" t="s">
        <v>148</v>
      </c>
      <c r="D25" s="8">
        <v>11</v>
      </c>
      <c r="E25" s="8">
        <v>36</v>
      </c>
      <c r="F25" s="8" t="s">
        <v>56</v>
      </c>
      <c r="G25" s="8" t="s">
        <v>43</v>
      </c>
      <c r="H25" s="8" t="s">
        <v>44</v>
      </c>
      <c r="I25" s="8" t="s">
        <v>57</v>
      </c>
      <c r="J25" s="8" t="s">
        <v>149</v>
      </c>
      <c r="K25" s="8" t="s">
        <v>47</v>
      </c>
      <c r="L25" s="8" t="s">
        <v>48</v>
      </c>
      <c r="M25" s="8" t="s">
        <v>49</v>
      </c>
      <c r="N25" s="8" t="s">
        <v>48</v>
      </c>
      <c r="O25" s="8" t="s">
        <v>48</v>
      </c>
      <c r="P25" s="9" t="s">
        <v>143</v>
      </c>
      <c r="Q25" s="10"/>
      <c r="R25" s="10" t="s">
        <v>144</v>
      </c>
      <c r="S25" s="10">
        <v>1</v>
      </c>
      <c r="T25" s="10" t="s">
        <v>150</v>
      </c>
      <c r="U25" s="10" t="s">
        <v>151</v>
      </c>
      <c r="V25" s="11"/>
      <c r="W25" s="11"/>
      <c r="X25" s="11"/>
    </row>
    <row r="26" spans="1:24" ht="90" customHeight="1" x14ac:dyDescent="0.2">
      <c r="A26" s="8" t="s">
        <v>152</v>
      </c>
      <c r="B26" s="8" t="s">
        <v>140</v>
      </c>
      <c r="C26" s="8" t="s">
        <v>153</v>
      </c>
      <c r="D26" s="8">
        <v>13</v>
      </c>
      <c r="E26" s="8">
        <v>45</v>
      </c>
      <c r="F26" s="8" t="s">
        <v>62</v>
      </c>
      <c r="G26" s="8" t="s">
        <v>43</v>
      </c>
      <c r="H26" s="8" t="s">
        <v>44</v>
      </c>
      <c r="I26" s="8" t="s">
        <v>57</v>
      </c>
      <c r="J26" s="8" t="s">
        <v>154</v>
      </c>
      <c r="K26" s="8" t="s">
        <v>47</v>
      </c>
      <c r="L26" s="8" t="s">
        <v>48</v>
      </c>
      <c r="M26" s="8" t="s">
        <v>49</v>
      </c>
      <c r="N26" s="8" t="s">
        <v>48</v>
      </c>
      <c r="O26" s="8" t="s">
        <v>48</v>
      </c>
      <c r="P26" s="9" t="s">
        <v>143</v>
      </c>
      <c r="Q26" s="10"/>
      <c r="R26" s="10" t="s">
        <v>144</v>
      </c>
      <c r="S26" s="10">
        <v>1</v>
      </c>
      <c r="T26" s="10" t="s">
        <v>155</v>
      </c>
      <c r="U26" s="10" t="s">
        <v>156</v>
      </c>
      <c r="V26" s="11"/>
      <c r="W26" s="11"/>
      <c r="X26" s="11"/>
    </row>
    <row r="27" spans="1:24" ht="90" customHeight="1" x14ac:dyDescent="0.2">
      <c r="A27" s="8" t="s">
        <v>157</v>
      </c>
      <c r="B27" s="8" t="s">
        <v>140</v>
      </c>
      <c r="C27" s="8" t="s">
        <v>158</v>
      </c>
      <c r="D27" s="8">
        <v>9</v>
      </c>
      <c r="E27" s="8">
        <v>29</v>
      </c>
      <c r="F27" s="8" t="s">
        <v>67</v>
      </c>
      <c r="G27" s="8" t="s">
        <v>43</v>
      </c>
      <c r="H27" s="8" t="s">
        <v>44</v>
      </c>
      <c r="I27" s="8" t="s">
        <v>57</v>
      </c>
      <c r="J27" s="8" t="s">
        <v>159</v>
      </c>
      <c r="K27" s="8" t="s">
        <v>47</v>
      </c>
      <c r="L27" s="8" t="s">
        <v>48</v>
      </c>
      <c r="M27" s="8" t="s">
        <v>49</v>
      </c>
      <c r="N27" s="8" t="s">
        <v>48</v>
      </c>
      <c r="O27" s="8" t="s">
        <v>48</v>
      </c>
      <c r="P27" s="9" t="s">
        <v>143</v>
      </c>
      <c r="Q27" s="10"/>
      <c r="R27" s="10" t="s">
        <v>144</v>
      </c>
      <c r="S27" s="10">
        <v>1</v>
      </c>
      <c r="T27" s="10" t="s">
        <v>160</v>
      </c>
      <c r="U27" s="10" t="s">
        <v>161</v>
      </c>
      <c r="V27" s="11"/>
      <c r="W27" s="11"/>
      <c r="X27" s="11"/>
    </row>
    <row r="28" spans="1:24" ht="90" customHeight="1" x14ac:dyDescent="0.2">
      <c r="A28" s="8" t="s">
        <v>162</v>
      </c>
      <c r="B28" s="8" t="s">
        <v>140</v>
      </c>
      <c r="C28" s="8" t="s">
        <v>163</v>
      </c>
      <c r="D28" s="8">
        <v>13</v>
      </c>
      <c r="E28" s="8">
        <v>45</v>
      </c>
      <c r="F28" s="8" t="s">
        <v>71</v>
      </c>
      <c r="G28" s="8" t="s">
        <v>43</v>
      </c>
      <c r="H28" s="8" t="s">
        <v>44</v>
      </c>
      <c r="I28" s="8" t="s">
        <v>57</v>
      </c>
      <c r="J28" s="8" t="s">
        <v>164</v>
      </c>
      <c r="K28" s="8" t="s">
        <v>47</v>
      </c>
      <c r="L28" s="8" t="s">
        <v>48</v>
      </c>
      <c r="M28" s="8" t="s">
        <v>49</v>
      </c>
      <c r="N28" s="8" t="s">
        <v>48</v>
      </c>
      <c r="O28" s="8" t="s">
        <v>48</v>
      </c>
      <c r="P28" s="9" t="s">
        <v>143</v>
      </c>
      <c r="Q28" s="10"/>
      <c r="R28" s="10" t="s">
        <v>144</v>
      </c>
      <c r="S28" s="10">
        <v>1</v>
      </c>
      <c r="T28" s="10" t="s">
        <v>165</v>
      </c>
      <c r="U28" s="10" t="s">
        <v>166</v>
      </c>
      <c r="V28" s="11"/>
      <c r="W28" s="11"/>
      <c r="X28" s="11"/>
    </row>
    <row r="29" spans="1:24" ht="90" customHeight="1" x14ac:dyDescent="0.2">
      <c r="A29" s="8" t="s">
        <v>167</v>
      </c>
      <c r="B29" s="8" t="s">
        <v>140</v>
      </c>
      <c r="C29" s="8" t="s">
        <v>168</v>
      </c>
      <c r="D29" s="8">
        <v>12</v>
      </c>
      <c r="E29" s="8">
        <v>40</v>
      </c>
      <c r="F29" s="8" t="s">
        <v>75</v>
      </c>
      <c r="G29" s="8" t="s">
        <v>43</v>
      </c>
      <c r="H29" s="8" t="s">
        <v>44</v>
      </c>
      <c r="I29" s="8" t="s">
        <v>57</v>
      </c>
      <c r="J29" s="8" t="s">
        <v>169</v>
      </c>
      <c r="K29" s="8" t="s">
        <v>47</v>
      </c>
      <c r="L29" s="8" t="s">
        <v>48</v>
      </c>
      <c r="M29" s="8" t="s">
        <v>49</v>
      </c>
      <c r="N29" s="8" t="s">
        <v>48</v>
      </c>
      <c r="O29" s="8" t="s">
        <v>48</v>
      </c>
      <c r="P29" s="9" t="s">
        <v>143</v>
      </c>
      <c r="Q29" s="10"/>
      <c r="R29" s="10" t="s">
        <v>144</v>
      </c>
      <c r="S29" s="10">
        <v>1</v>
      </c>
      <c r="T29" s="10" t="s">
        <v>170</v>
      </c>
      <c r="U29" s="10" t="s">
        <v>171</v>
      </c>
      <c r="V29" s="11"/>
      <c r="W29" s="11"/>
      <c r="X29" s="11"/>
    </row>
    <row r="30" spans="1:24" ht="90" customHeight="1" x14ac:dyDescent="0.2">
      <c r="A30" s="8" t="s">
        <v>172</v>
      </c>
      <c r="B30" s="8" t="s">
        <v>173</v>
      </c>
      <c r="C30" s="8" t="s">
        <v>174</v>
      </c>
      <c r="D30" s="8">
        <v>13</v>
      </c>
      <c r="E30" s="8">
        <v>45</v>
      </c>
      <c r="F30" s="8" t="s">
        <v>42</v>
      </c>
      <c r="G30" s="8" t="s">
        <v>43</v>
      </c>
      <c r="H30" s="8" t="s">
        <v>44</v>
      </c>
      <c r="I30" s="8" t="s">
        <v>57</v>
      </c>
      <c r="J30" s="8" t="s">
        <v>175</v>
      </c>
      <c r="K30" s="8" t="s">
        <v>47</v>
      </c>
      <c r="L30" s="8" t="s">
        <v>48</v>
      </c>
      <c r="M30" s="8" t="s">
        <v>49</v>
      </c>
      <c r="N30" s="8" t="s">
        <v>48</v>
      </c>
      <c r="O30" s="8" t="s">
        <v>48</v>
      </c>
      <c r="P30" s="9" t="s">
        <v>176</v>
      </c>
      <c r="Q30" s="10"/>
      <c r="R30" s="10" t="s">
        <v>177</v>
      </c>
      <c r="S30" s="10"/>
      <c r="T30" s="10" t="s">
        <v>178</v>
      </c>
      <c r="U30" s="10" t="s">
        <v>179</v>
      </c>
      <c r="V30" s="11"/>
      <c r="W30" s="11"/>
      <c r="X30" s="11"/>
    </row>
    <row r="31" spans="1:24" ht="90" customHeight="1" x14ac:dyDescent="0.2">
      <c r="A31" s="8" t="s">
        <v>180</v>
      </c>
      <c r="B31" s="8" t="s">
        <v>173</v>
      </c>
      <c r="C31" s="8" t="s">
        <v>181</v>
      </c>
      <c r="D31" s="8">
        <v>12</v>
      </c>
      <c r="E31" s="8">
        <v>40</v>
      </c>
      <c r="F31" s="8" t="s">
        <v>56</v>
      </c>
      <c r="G31" s="8" t="s">
        <v>43</v>
      </c>
      <c r="H31" s="8" t="s">
        <v>44</v>
      </c>
      <c r="I31" s="8" t="s">
        <v>57</v>
      </c>
      <c r="J31" s="8" t="s">
        <v>182</v>
      </c>
      <c r="K31" s="8" t="s">
        <v>47</v>
      </c>
      <c r="L31" s="8" t="s">
        <v>48</v>
      </c>
      <c r="M31" s="8" t="s">
        <v>49</v>
      </c>
      <c r="N31" s="8" t="s">
        <v>48</v>
      </c>
      <c r="O31" s="8" t="s">
        <v>48</v>
      </c>
      <c r="P31" s="9" t="s">
        <v>176</v>
      </c>
      <c r="Q31" s="10"/>
      <c r="R31" s="10" t="s">
        <v>177</v>
      </c>
      <c r="S31" s="10"/>
      <c r="T31" s="10" t="s">
        <v>183</v>
      </c>
      <c r="U31" s="10" t="s">
        <v>184</v>
      </c>
      <c r="V31" s="11"/>
      <c r="W31" s="11"/>
      <c r="X31" s="11"/>
    </row>
    <row r="32" spans="1:24" ht="90" customHeight="1" x14ac:dyDescent="0.2">
      <c r="A32" s="8" t="s">
        <v>185</v>
      </c>
      <c r="B32" s="8" t="s">
        <v>173</v>
      </c>
      <c r="C32" s="8" t="s">
        <v>186</v>
      </c>
      <c r="D32" s="8">
        <v>9</v>
      </c>
      <c r="E32" s="8">
        <v>29</v>
      </c>
      <c r="F32" s="8" t="s">
        <v>62</v>
      </c>
      <c r="G32" s="8" t="s">
        <v>43</v>
      </c>
      <c r="H32" s="8" t="s">
        <v>44</v>
      </c>
      <c r="I32" s="8" t="s">
        <v>57</v>
      </c>
      <c r="J32" s="8" t="s">
        <v>187</v>
      </c>
      <c r="K32" s="8" t="s">
        <v>47</v>
      </c>
      <c r="L32" s="8" t="s">
        <v>48</v>
      </c>
      <c r="M32" s="8" t="s">
        <v>49</v>
      </c>
      <c r="N32" s="8" t="s">
        <v>48</v>
      </c>
      <c r="O32" s="8" t="s">
        <v>48</v>
      </c>
      <c r="P32" s="9" t="s">
        <v>176</v>
      </c>
      <c r="Q32" s="10"/>
      <c r="R32" s="10" t="s">
        <v>177</v>
      </c>
      <c r="S32" s="10"/>
      <c r="T32" s="10" t="s">
        <v>188</v>
      </c>
      <c r="U32" s="10" t="s">
        <v>189</v>
      </c>
      <c r="V32" s="11"/>
      <c r="W32" s="11"/>
      <c r="X32" s="11"/>
    </row>
    <row r="33" spans="1:24" ht="90" customHeight="1" x14ac:dyDescent="0.2">
      <c r="A33" s="8" t="s">
        <v>190</v>
      </c>
      <c r="B33" s="8" t="s">
        <v>173</v>
      </c>
      <c r="C33" s="8" t="s">
        <v>191</v>
      </c>
      <c r="D33" s="8">
        <v>14</v>
      </c>
      <c r="E33" s="8">
        <v>50</v>
      </c>
      <c r="F33" s="8" t="s">
        <v>67</v>
      </c>
      <c r="G33" s="8" t="s">
        <v>43</v>
      </c>
      <c r="H33" s="8" t="s">
        <v>44</v>
      </c>
      <c r="I33" s="8" t="s">
        <v>57</v>
      </c>
      <c r="J33" s="8" t="s">
        <v>192</v>
      </c>
      <c r="K33" s="8" t="s">
        <v>47</v>
      </c>
      <c r="L33" s="8" t="s">
        <v>48</v>
      </c>
      <c r="M33" s="8" t="s">
        <v>49</v>
      </c>
      <c r="N33" s="8" t="s">
        <v>48</v>
      </c>
      <c r="O33" s="8" t="s">
        <v>48</v>
      </c>
      <c r="P33" s="9" t="s">
        <v>176</v>
      </c>
      <c r="Q33" s="10"/>
      <c r="R33" s="10" t="s">
        <v>177</v>
      </c>
      <c r="S33" s="10"/>
      <c r="T33" s="10" t="s">
        <v>193</v>
      </c>
      <c r="U33" s="10" t="s">
        <v>194</v>
      </c>
      <c r="V33" s="11"/>
      <c r="W33" s="11"/>
      <c r="X33" s="11"/>
    </row>
    <row r="34" spans="1:24" ht="90" customHeight="1" x14ac:dyDescent="0.2">
      <c r="A34" s="8" t="s">
        <v>195</v>
      </c>
      <c r="B34" s="8" t="s">
        <v>173</v>
      </c>
      <c r="C34" s="8" t="s">
        <v>196</v>
      </c>
      <c r="D34" s="8">
        <v>10</v>
      </c>
      <c r="E34" s="8">
        <v>32</v>
      </c>
      <c r="F34" s="8" t="s">
        <v>71</v>
      </c>
      <c r="G34" s="8" t="s">
        <v>43</v>
      </c>
      <c r="H34" s="8" t="s">
        <v>44</v>
      </c>
      <c r="I34" s="8" t="s">
        <v>57</v>
      </c>
      <c r="J34" s="8" t="s">
        <v>197</v>
      </c>
      <c r="K34" s="8" t="s">
        <v>47</v>
      </c>
      <c r="L34" s="8" t="s">
        <v>48</v>
      </c>
      <c r="M34" s="8" t="s">
        <v>49</v>
      </c>
      <c r="N34" s="8" t="s">
        <v>48</v>
      </c>
      <c r="O34" s="8" t="s">
        <v>48</v>
      </c>
      <c r="P34" s="9" t="s">
        <v>176</v>
      </c>
      <c r="Q34" s="10"/>
      <c r="R34" s="10" t="s">
        <v>177</v>
      </c>
      <c r="S34" s="10"/>
      <c r="T34" s="10" t="s">
        <v>198</v>
      </c>
      <c r="U34" s="10" t="s">
        <v>199</v>
      </c>
      <c r="V34" s="11"/>
      <c r="W34" s="11"/>
      <c r="X34" s="11"/>
    </row>
    <row r="35" spans="1:24" ht="90" customHeight="1" x14ac:dyDescent="0.2">
      <c r="A35" s="8" t="s">
        <v>200</v>
      </c>
      <c r="B35" s="8" t="s">
        <v>173</v>
      </c>
      <c r="C35" s="8" t="s">
        <v>201</v>
      </c>
      <c r="D35" s="8">
        <v>15</v>
      </c>
      <c r="E35" s="8">
        <v>55</v>
      </c>
      <c r="F35" s="8" t="s">
        <v>75</v>
      </c>
      <c r="G35" s="8" t="s">
        <v>43</v>
      </c>
      <c r="H35" s="8" t="s">
        <v>44</v>
      </c>
      <c r="I35" s="8" t="s">
        <v>57</v>
      </c>
      <c r="J35" s="8" t="s">
        <v>202</v>
      </c>
      <c r="K35" s="8" t="s">
        <v>47</v>
      </c>
      <c r="L35" s="8" t="s">
        <v>48</v>
      </c>
      <c r="M35" s="8" t="s">
        <v>49</v>
      </c>
      <c r="N35" s="8" t="s">
        <v>48</v>
      </c>
      <c r="O35" s="8" t="s">
        <v>48</v>
      </c>
      <c r="P35" s="9" t="s">
        <v>176</v>
      </c>
      <c r="Q35" s="10"/>
      <c r="R35" s="10" t="s">
        <v>177</v>
      </c>
      <c r="S35" s="10"/>
      <c r="T35" s="10" t="s">
        <v>203</v>
      </c>
      <c r="U35" s="10" t="s">
        <v>204</v>
      </c>
      <c r="V35" s="11"/>
      <c r="W35" s="11"/>
      <c r="X35" s="11"/>
    </row>
    <row r="36" spans="1:24" ht="90" customHeight="1" x14ac:dyDescent="0.2">
      <c r="A36" s="8" t="s">
        <v>205</v>
      </c>
      <c r="B36" s="8" t="s">
        <v>206</v>
      </c>
      <c r="C36" s="8" t="s">
        <v>207</v>
      </c>
      <c r="D36" s="8">
        <v>9</v>
      </c>
      <c r="E36" s="8">
        <v>29</v>
      </c>
      <c r="F36" s="8" t="s">
        <v>42</v>
      </c>
      <c r="G36" s="8" t="s">
        <v>43</v>
      </c>
      <c r="H36" s="8" t="s">
        <v>208</v>
      </c>
      <c r="I36" s="8" t="s">
        <v>123</v>
      </c>
      <c r="J36" s="8" t="s">
        <v>46</v>
      </c>
      <c r="K36" s="8" t="s">
        <v>47</v>
      </c>
      <c r="L36" s="8" t="s">
        <v>48</v>
      </c>
      <c r="M36" s="8" t="s">
        <v>49</v>
      </c>
      <c r="N36" s="8" t="s">
        <v>48</v>
      </c>
      <c r="O36" s="8" t="s">
        <v>48</v>
      </c>
      <c r="P36" s="9" t="s">
        <v>50</v>
      </c>
      <c r="Q36" s="10"/>
      <c r="R36" s="10" t="s">
        <v>209</v>
      </c>
      <c r="S36" s="10"/>
      <c r="T36" s="10" t="s">
        <v>210</v>
      </c>
      <c r="U36" s="10" t="s">
        <v>211</v>
      </c>
      <c r="V36" s="11"/>
      <c r="W36" s="11"/>
      <c r="X36" s="11"/>
    </row>
    <row r="37" spans="1:24" ht="90" customHeight="1" x14ac:dyDescent="0.2">
      <c r="A37" s="8" t="s">
        <v>212</v>
      </c>
      <c r="B37" s="8" t="s">
        <v>206</v>
      </c>
      <c r="C37" s="8" t="s">
        <v>207</v>
      </c>
      <c r="D37" s="8">
        <v>9</v>
      </c>
      <c r="E37" s="8">
        <v>29</v>
      </c>
      <c r="F37" s="8" t="s">
        <v>56</v>
      </c>
      <c r="G37" s="8" t="s">
        <v>43</v>
      </c>
      <c r="H37" s="8" t="s">
        <v>208</v>
      </c>
      <c r="I37" s="8" t="s">
        <v>123</v>
      </c>
      <c r="J37" s="8" t="s">
        <v>46</v>
      </c>
      <c r="K37" s="8" t="s">
        <v>47</v>
      </c>
      <c r="L37" s="8" t="s">
        <v>48</v>
      </c>
      <c r="M37" s="8" t="s">
        <v>49</v>
      </c>
      <c r="N37" s="8" t="s">
        <v>48</v>
      </c>
      <c r="O37" s="8" t="s">
        <v>48</v>
      </c>
      <c r="P37" s="9" t="s">
        <v>50</v>
      </c>
      <c r="Q37" s="10"/>
      <c r="R37" s="10" t="s">
        <v>209</v>
      </c>
      <c r="S37" s="10"/>
      <c r="T37" s="10" t="s">
        <v>213</v>
      </c>
      <c r="U37" s="10" t="s">
        <v>214</v>
      </c>
      <c r="V37" s="11"/>
      <c r="W37" s="11"/>
      <c r="X37" s="11"/>
    </row>
    <row r="38" spans="1:24" ht="90" customHeight="1" x14ac:dyDescent="0.2">
      <c r="A38" s="8" t="s">
        <v>215</v>
      </c>
      <c r="B38" s="8" t="s">
        <v>206</v>
      </c>
      <c r="C38" s="8" t="s">
        <v>207</v>
      </c>
      <c r="D38" s="8">
        <v>14</v>
      </c>
      <c r="E38" s="8">
        <v>50</v>
      </c>
      <c r="F38" s="8" t="s">
        <v>62</v>
      </c>
      <c r="G38" s="8" t="s">
        <v>43</v>
      </c>
      <c r="H38" s="8" t="s">
        <v>208</v>
      </c>
      <c r="I38" s="8" t="s">
        <v>123</v>
      </c>
      <c r="J38" s="8" t="s">
        <v>46</v>
      </c>
      <c r="K38" s="8" t="s">
        <v>47</v>
      </c>
      <c r="L38" s="8" t="s">
        <v>48</v>
      </c>
      <c r="M38" s="8" t="s">
        <v>49</v>
      </c>
      <c r="N38" s="8" t="s">
        <v>48</v>
      </c>
      <c r="O38" s="8" t="s">
        <v>48</v>
      </c>
      <c r="P38" s="9" t="s">
        <v>50</v>
      </c>
      <c r="Q38" s="10"/>
      <c r="R38" s="10" t="s">
        <v>209</v>
      </c>
      <c r="S38" s="10"/>
      <c r="T38" s="10" t="s">
        <v>216</v>
      </c>
      <c r="U38" s="10" t="s">
        <v>217</v>
      </c>
      <c r="V38" s="11"/>
      <c r="W38" s="11"/>
      <c r="X38" s="11"/>
    </row>
    <row r="39" spans="1:24" ht="90" customHeight="1" x14ac:dyDescent="0.2">
      <c r="A39" s="8" t="s">
        <v>218</v>
      </c>
      <c r="B39" s="8" t="s">
        <v>206</v>
      </c>
      <c r="C39" s="8" t="s">
        <v>207</v>
      </c>
      <c r="D39" s="8">
        <v>10</v>
      </c>
      <c r="E39" s="8">
        <v>32</v>
      </c>
      <c r="F39" s="8" t="s">
        <v>67</v>
      </c>
      <c r="G39" s="8" t="s">
        <v>43</v>
      </c>
      <c r="H39" s="8" t="s">
        <v>208</v>
      </c>
      <c r="I39" s="8" t="s">
        <v>123</v>
      </c>
      <c r="J39" s="8" t="s">
        <v>46</v>
      </c>
      <c r="K39" s="8" t="s">
        <v>47</v>
      </c>
      <c r="L39" s="8" t="s">
        <v>48</v>
      </c>
      <c r="M39" s="8" t="s">
        <v>49</v>
      </c>
      <c r="N39" s="8" t="s">
        <v>48</v>
      </c>
      <c r="O39" s="8" t="s">
        <v>48</v>
      </c>
      <c r="P39" s="9" t="s">
        <v>50</v>
      </c>
      <c r="Q39" s="10"/>
      <c r="R39" s="10" t="s">
        <v>209</v>
      </c>
      <c r="S39" s="10"/>
      <c r="T39" s="10" t="s">
        <v>219</v>
      </c>
      <c r="U39" s="10" t="s">
        <v>220</v>
      </c>
      <c r="V39" s="11"/>
      <c r="W39" s="11"/>
      <c r="X39" s="11"/>
    </row>
    <row r="40" spans="1:24" ht="90" customHeight="1" x14ac:dyDescent="0.2">
      <c r="A40" s="8" t="s">
        <v>221</v>
      </c>
      <c r="B40" s="8" t="s">
        <v>206</v>
      </c>
      <c r="C40" s="8" t="s">
        <v>207</v>
      </c>
      <c r="D40" s="8">
        <v>8</v>
      </c>
      <c r="E40" s="8">
        <v>26</v>
      </c>
      <c r="F40" s="8" t="s">
        <v>71</v>
      </c>
      <c r="G40" s="8" t="s">
        <v>43</v>
      </c>
      <c r="H40" s="8" t="s">
        <v>208</v>
      </c>
      <c r="I40" s="8" t="s">
        <v>123</v>
      </c>
      <c r="J40" s="8" t="s">
        <v>46</v>
      </c>
      <c r="K40" s="8" t="s">
        <v>47</v>
      </c>
      <c r="L40" s="8" t="s">
        <v>48</v>
      </c>
      <c r="M40" s="8" t="s">
        <v>49</v>
      </c>
      <c r="N40" s="8" t="s">
        <v>48</v>
      </c>
      <c r="O40" s="8" t="s">
        <v>48</v>
      </c>
      <c r="P40" s="9" t="s">
        <v>50</v>
      </c>
      <c r="Q40" s="10"/>
      <c r="R40" s="10" t="s">
        <v>209</v>
      </c>
      <c r="S40" s="10"/>
      <c r="T40" s="10" t="s">
        <v>222</v>
      </c>
      <c r="U40" s="10" t="s">
        <v>223</v>
      </c>
      <c r="V40" s="11"/>
      <c r="W40" s="11"/>
      <c r="X40" s="11"/>
    </row>
    <row r="41" spans="1:24" ht="90" customHeight="1" x14ac:dyDescent="0.2">
      <c r="A41" s="8" t="s">
        <v>224</v>
      </c>
      <c r="B41" s="8" t="s">
        <v>225</v>
      </c>
      <c r="C41" s="8" t="s">
        <v>226</v>
      </c>
      <c r="D41" s="8">
        <v>9</v>
      </c>
      <c r="E41" s="8">
        <v>29</v>
      </c>
      <c r="F41" s="8" t="s">
        <v>56</v>
      </c>
      <c r="G41" s="8" t="s">
        <v>43</v>
      </c>
      <c r="H41" s="8" t="s">
        <v>227</v>
      </c>
      <c r="I41" s="8" t="s">
        <v>228</v>
      </c>
      <c r="J41" s="8" t="s">
        <v>46</v>
      </c>
      <c r="K41" s="8" t="s">
        <v>47</v>
      </c>
      <c r="L41" s="8" t="s">
        <v>48</v>
      </c>
      <c r="M41" s="8" t="s">
        <v>49</v>
      </c>
      <c r="N41" s="8" t="s">
        <v>48</v>
      </c>
      <c r="O41" s="8" t="s">
        <v>48</v>
      </c>
      <c r="P41" s="9" t="s">
        <v>176</v>
      </c>
      <c r="Q41" s="10"/>
      <c r="R41" s="10" t="s">
        <v>229</v>
      </c>
      <c r="S41" s="10"/>
      <c r="T41" s="10" t="s">
        <v>230</v>
      </c>
      <c r="U41" s="10" t="s">
        <v>231</v>
      </c>
      <c r="V41" s="11"/>
      <c r="W41" s="11"/>
      <c r="X41" s="11"/>
    </row>
    <row r="42" spans="1:24" ht="90" customHeight="1" x14ac:dyDescent="0.2">
      <c r="A42" s="8" t="s">
        <v>232</v>
      </c>
      <c r="B42" s="8" t="s">
        <v>225</v>
      </c>
      <c r="C42" s="8" t="s">
        <v>233</v>
      </c>
      <c r="D42" s="8">
        <v>9</v>
      </c>
      <c r="E42" s="8">
        <v>29</v>
      </c>
      <c r="F42" s="8" t="s">
        <v>234</v>
      </c>
      <c r="G42" s="8" t="s">
        <v>43</v>
      </c>
      <c r="H42" s="8" t="s">
        <v>235</v>
      </c>
      <c r="I42" s="8" t="s">
        <v>228</v>
      </c>
      <c r="J42" s="8" t="s">
        <v>46</v>
      </c>
      <c r="K42" s="8" t="s">
        <v>47</v>
      </c>
      <c r="L42" s="8" t="s">
        <v>48</v>
      </c>
      <c r="M42" s="8" t="s">
        <v>49</v>
      </c>
      <c r="N42" s="8" t="s">
        <v>48</v>
      </c>
      <c r="O42" s="8" t="s">
        <v>48</v>
      </c>
      <c r="P42" s="9" t="s">
        <v>176</v>
      </c>
      <c r="Q42" s="10"/>
      <c r="R42" s="10" t="s">
        <v>236</v>
      </c>
      <c r="S42" s="10"/>
      <c r="T42" s="10" t="s">
        <v>237</v>
      </c>
      <c r="U42" s="10" t="s">
        <v>238</v>
      </c>
      <c r="V42" s="11"/>
      <c r="W42" s="11"/>
      <c r="X42" s="11"/>
    </row>
    <row r="43" spans="1:24" ht="90" customHeight="1" x14ac:dyDescent="0.2">
      <c r="A43" s="8" t="s">
        <v>239</v>
      </c>
      <c r="B43" s="8" t="s">
        <v>225</v>
      </c>
      <c r="C43" s="8" t="s">
        <v>226</v>
      </c>
      <c r="D43" s="8">
        <v>12</v>
      </c>
      <c r="E43" s="8">
        <v>40</v>
      </c>
      <c r="F43" s="8" t="s">
        <v>79</v>
      </c>
      <c r="G43" s="8" t="s">
        <v>43</v>
      </c>
      <c r="H43" s="8" t="s">
        <v>227</v>
      </c>
      <c r="I43" s="8" t="s">
        <v>228</v>
      </c>
      <c r="J43" s="8" t="s">
        <v>46</v>
      </c>
      <c r="K43" s="8" t="s">
        <v>47</v>
      </c>
      <c r="L43" s="8" t="s">
        <v>48</v>
      </c>
      <c r="M43" s="8" t="s">
        <v>49</v>
      </c>
      <c r="N43" s="8" t="s">
        <v>48</v>
      </c>
      <c r="O43" s="8" t="s">
        <v>48</v>
      </c>
      <c r="P43" s="9" t="s">
        <v>176</v>
      </c>
      <c r="Q43" s="10"/>
      <c r="R43" s="10" t="s">
        <v>229</v>
      </c>
      <c r="S43" s="10"/>
      <c r="T43" s="10" t="s">
        <v>240</v>
      </c>
      <c r="U43" s="10" t="s">
        <v>241</v>
      </c>
      <c r="V43" s="11"/>
      <c r="W43" s="11"/>
      <c r="X43" s="11"/>
    </row>
    <row r="44" spans="1:24" ht="90" customHeight="1" x14ac:dyDescent="0.2">
      <c r="A44" s="8" t="s">
        <v>242</v>
      </c>
      <c r="B44" s="8" t="s">
        <v>225</v>
      </c>
      <c r="C44" s="8" t="s">
        <v>233</v>
      </c>
      <c r="D44" s="8">
        <v>11</v>
      </c>
      <c r="E44" s="8">
        <v>36</v>
      </c>
      <c r="F44" s="8" t="s">
        <v>243</v>
      </c>
      <c r="G44" s="8" t="s">
        <v>43</v>
      </c>
      <c r="H44" s="8" t="s">
        <v>235</v>
      </c>
      <c r="I44" s="8" t="s">
        <v>228</v>
      </c>
      <c r="J44" s="8" t="s">
        <v>46</v>
      </c>
      <c r="K44" s="8" t="s">
        <v>47</v>
      </c>
      <c r="L44" s="8" t="s">
        <v>48</v>
      </c>
      <c r="M44" s="8" t="s">
        <v>49</v>
      </c>
      <c r="N44" s="8" t="s">
        <v>48</v>
      </c>
      <c r="O44" s="8" t="s">
        <v>48</v>
      </c>
      <c r="P44" s="9" t="s">
        <v>176</v>
      </c>
      <c r="Q44" s="10"/>
      <c r="R44" s="10" t="s">
        <v>236</v>
      </c>
      <c r="S44" s="10"/>
      <c r="T44" s="10" t="s">
        <v>244</v>
      </c>
      <c r="U44" s="10" t="s">
        <v>245</v>
      </c>
      <c r="V44" s="11"/>
      <c r="W44" s="11"/>
      <c r="X44" s="11"/>
    </row>
    <row r="45" spans="1:24" ht="90" customHeight="1" x14ac:dyDescent="0.2">
      <c r="A45" s="8" t="s">
        <v>246</v>
      </c>
      <c r="B45" s="8" t="s">
        <v>247</v>
      </c>
      <c r="C45" s="8" t="s">
        <v>248</v>
      </c>
      <c r="D45" s="8">
        <v>9</v>
      </c>
      <c r="E45" s="8">
        <v>29</v>
      </c>
      <c r="F45" s="8" t="s">
        <v>67</v>
      </c>
      <c r="G45" s="8" t="s">
        <v>43</v>
      </c>
      <c r="H45" s="8" t="s">
        <v>249</v>
      </c>
      <c r="I45" s="8" t="s">
        <v>250</v>
      </c>
      <c r="J45" s="8" t="s">
        <v>46</v>
      </c>
      <c r="K45" s="8" t="s">
        <v>47</v>
      </c>
      <c r="L45" s="8" t="s">
        <v>48</v>
      </c>
      <c r="M45" s="8" t="s">
        <v>49</v>
      </c>
      <c r="N45" s="8" t="s">
        <v>48</v>
      </c>
      <c r="O45" s="8" t="s">
        <v>48</v>
      </c>
      <c r="P45" s="9" t="s">
        <v>125</v>
      </c>
      <c r="Q45" s="10"/>
      <c r="R45" s="10" t="s">
        <v>126</v>
      </c>
      <c r="S45" s="10"/>
      <c r="T45" s="10" t="s">
        <v>251</v>
      </c>
      <c r="U45" s="10" t="s">
        <v>128</v>
      </c>
      <c r="V45" s="11"/>
      <c r="W45" s="11"/>
      <c r="X45" s="11"/>
    </row>
    <row r="46" spans="1:24" ht="90" customHeight="1" x14ac:dyDescent="0.2">
      <c r="A46" s="8" t="s">
        <v>252</v>
      </c>
      <c r="B46" s="8" t="s">
        <v>247</v>
      </c>
      <c r="C46" s="8" t="s">
        <v>248</v>
      </c>
      <c r="D46" s="8">
        <v>10</v>
      </c>
      <c r="E46" s="8">
        <v>32</v>
      </c>
      <c r="F46" s="8" t="s">
        <v>42</v>
      </c>
      <c r="G46" s="8" t="s">
        <v>43</v>
      </c>
      <c r="H46" s="8" t="s">
        <v>249</v>
      </c>
      <c r="I46" s="8" t="s">
        <v>250</v>
      </c>
      <c r="J46" s="8" t="s">
        <v>46</v>
      </c>
      <c r="K46" s="8" t="s">
        <v>47</v>
      </c>
      <c r="L46" s="8" t="s">
        <v>48</v>
      </c>
      <c r="M46" s="8" t="s">
        <v>49</v>
      </c>
      <c r="N46" s="8" t="s">
        <v>48</v>
      </c>
      <c r="O46" s="8" t="s">
        <v>48</v>
      </c>
      <c r="P46" s="9" t="s">
        <v>125</v>
      </c>
      <c r="Q46" s="10"/>
      <c r="R46" s="10" t="s">
        <v>126</v>
      </c>
      <c r="S46" s="10"/>
      <c r="T46" s="10" t="s">
        <v>253</v>
      </c>
      <c r="U46" s="10" t="s">
        <v>128</v>
      </c>
      <c r="V46" s="11"/>
      <c r="W46" s="11"/>
      <c r="X46" s="11"/>
    </row>
    <row r="47" spans="1:24" ht="90" customHeight="1" x14ac:dyDescent="0.2">
      <c r="A47" s="8" t="s">
        <v>254</v>
      </c>
      <c r="B47" s="8" t="s">
        <v>247</v>
      </c>
      <c r="C47" s="8" t="s">
        <v>248</v>
      </c>
      <c r="D47" s="8">
        <v>12</v>
      </c>
      <c r="E47" s="8">
        <v>40</v>
      </c>
      <c r="F47" s="8" t="s">
        <v>62</v>
      </c>
      <c r="G47" s="8" t="s">
        <v>43</v>
      </c>
      <c r="H47" s="8" t="s">
        <v>249</v>
      </c>
      <c r="I47" s="8" t="s">
        <v>250</v>
      </c>
      <c r="J47" s="8" t="s">
        <v>46</v>
      </c>
      <c r="K47" s="8" t="s">
        <v>47</v>
      </c>
      <c r="L47" s="8" t="s">
        <v>48</v>
      </c>
      <c r="M47" s="8" t="s">
        <v>49</v>
      </c>
      <c r="N47" s="8" t="s">
        <v>48</v>
      </c>
      <c r="O47" s="8" t="s">
        <v>48</v>
      </c>
      <c r="P47" s="9" t="s">
        <v>125</v>
      </c>
      <c r="Q47" s="10"/>
      <c r="R47" s="10" t="s">
        <v>126</v>
      </c>
      <c r="S47" s="10"/>
      <c r="T47" s="10" t="s">
        <v>255</v>
      </c>
      <c r="U47" s="10" t="s">
        <v>128</v>
      </c>
      <c r="V47" s="11"/>
      <c r="W47" s="11"/>
      <c r="X47" s="11"/>
    </row>
    <row r="48" spans="1:24" ht="90" customHeight="1" x14ac:dyDescent="0.2">
      <c r="A48" s="8" t="s">
        <v>256</v>
      </c>
      <c r="B48" s="8" t="s">
        <v>257</v>
      </c>
      <c r="C48" s="8" t="s">
        <v>258</v>
      </c>
      <c r="D48" s="8">
        <v>10</v>
      </c>
      <c r="E48" s="8">
        <v>32</v>
      </c>
      <c r="F48" s="8" t="s">
        <v>42</v>
      </c>
      <c r="G48" s="8" t="s">
        <v>43</v>
      </c>
      <c r="H48" s="8" t="s">
        <v>44</v>
      </c>
      <c r="I48" s="8" t="s">
        <v>228</v>
      </c>
      <c r="J48" s="8" t="s">
        <v>46</v>
      </c>
      <c r="K48" s="8" t="s">
        <v>47</v>
      </c>
      <c r="L48" s="8" t="s">
        <v>48</v>
      </c>
      <c r="M48" s="8" t="s">
        <v>49</v>
      </c>
      <c r="N48" s="8" t="s">
        <v>48</v>
      </c>
      <c r="O48" s="8" t="s">
        <v>48</v>
      </c>
      <c r="P48" s="9" t="s">
        <v>50</v>
      </c>
      <c r="Q48" s="10"/>
      <c r="R48" s="10" t="s">
        <v>259</v>
      </c>
      <c r="S48" s="10">
        <v>4</v>
      </c>
      <c r="T48" s="10" t="s">
        <v>260</v>
      </c>
      <c r="U48" s="10" t="s">
        <v>53</v>
      </c>
      <c r="V48" s="11"/>
      <c r="W48" s="11"/>
      <c r="X48" s="11"/>
    </row>
    <row r="49" spans="1:24" ht="90" customHeight="1" x14ac:dyDescent="0.2">
      <c r="A49" s="8" t="s">
        <v>261</v>
      </c>
      <c r="B49" s="8" t="s">
        <v>257</v>
      </c>
      <c r="C49" s="8" t="s">
        <v>258</v>
      </c>
      <c r="D49" s="8">
        <v>11</v>
      </c>
      <c r="E49" s="8">
        <v>36</v>
      </c>
      <c r="F49" s="8" t="s">
        <v>56</v>
      </c>
      <c r="G49" s="8" t="s">
        <v>43</v>
      </c>
      <c r="H49" s="8" t="s">
        <v>44</v>
      </c>
      <c r="I49" s="8" t="s">
        <v>228</v>
      </c>
      <c r="J49" s="8" t="s">
        <v>46</v>
      </c>
      <c r="K49" s="8" t="s">
        <v>47</v>
      </c>
      <c r="L49" s="8" t="s">
        <v>90</v>
      </c>
      <c r="M49" s="8" t="s">
        <v>49</v>
      </c>
      <c r="N49" s="8" t="s">
        <v>48</v>
      </c>
      <c r="O49" s="8" t="s">
        <v>48</v>
      </c>
      <c r="P49" s="9" t="s">
        <v>50</v>
      </c>
      <c r="Q49" s="10"/>
      <c r="R49" s="10" t="s">
        <v>259</v>
      </c>
      <c r="S49" s="10">
        <v>4</v>
      </c>
      <c r="T49" s="10" t="s">
        <v>262</v>
      </c>
      <c r="U49" s="10" t="s">
        <v>59</v>
      </c>
      <c r="V49" s="11"/>
      <c r="W49" s="11"/>
      <c r="X49" s="11"/>
    </row>
    <row r="50" spans="1:24" ht="90" customHeight="1" x14ac:dyDescent="0.2">
      <c r="A50" s="8" t="s">
        <v>263</v>
      </c>
      <c r="B50" s="8" t="s">
        <v>257</v>
      </c>
      <c r="C50" s="8" t="s">
        <v>258</v>
      </c>
      <c r="D50" s="8">
        <v>8</v>
      </c>
      <c r="E50" s="8">
        <v>26</v>
      </c>
      <c r="F50" s="8" t="s">
        <v>62</v>
      </c>
      <c r="G50" s="8" t="s">
        <v>43</v>
      </c>
      <c r="H50" s="8" t="s">
        <v>44</v>
      </c>
      <c r="I50" s="8" t="s">
        <v>228</v>
      </c>
      <c r="J50" s="8" t="s">
        <v>46</v>
      </c>
      <c r="K50" s="8" t="s">
        <v>47</v>
      </c>
      <c r="L50" s="8" t="s">
        <v>48</v>
      </c>
      <c r="M50" s="8" t="s">
        <v>49</v>
      </c>
      <c r="N50" s="8" t="s">
        <v>48</v>
      </c>
      <c r="O50" s="8" t="s">
        <v>48</v>
      </c>
      <c r="P50" s="9" t="s">
        <v>50</v>
      </c>
      <c r="Q50" s="10"/>
      <c r="R50" s="10" t="s">
        <v>259</v>
      </c>
      <c r="S50" s="10">
        <v>4</v>
      </c>
      <c r="T50" s="10" t="s">
        <v>264</v>
      </c>
      <c r="U50" s="10" t="s">
        <v>65</v>
      </c>
      <c r="V50" s="11"/>
      <c r="W50" s="11"/>
      <c r="X50" s="11"/>
    </row>
    <row r="51" spans="1:24" ht="90" customHeight="1" x14ac:dyDescent="0.2">
      <c r="A51" s="8" t="s">
        <v>265</v>
      </c>
      <c r="B51" s="8" t="s">
        <v>257</v>
      </c>
      <c r="C51" s="8" t="s">
        <v>258</v>
      </c>
      <c r="D51" s="8">
        <v>12</v>
      </c>
      <c r="E51" s="8">
        <v>40</v>
      </c>
      <c r="F51" s="8" t="s">
        <v>67</v>
      </c>
      <c r="G51" s="8" t="s">
        <v>43</v>
      </c>
      <c r="H51" s="8" t="s">
        <v>44</v>
      </c>
      <c r="I51" s="8" t="s">
        <v>228</v>
      </c>
      <c r="J51" s="8" t="s">
        <v>46</v>
      </c>
      <c r="K51" s="8" t="s">
        <v>47</v>
      </c>
      <c r="L51" s="8" t="s">
        <v>90</v>
      </c>
      <c r="M51" s="8" t="s">
        <v>49</v>
      </c>
      <c r="N51" s="8" t="s">
        <v>48</v>
      </c>
      <c r="O51" s="8" t="s">
        <v>48</v>
      </c>
      <c r="P51" s="9" t="s">
        <v>50</v>
      </c>
      <c r="Q51" s="10"/>
      <c r="R51" s="10" t="s">
        <v>259</v>
      </c>
      <c r="S51" s="10">
        <v>4</v>
      </c>
      <c r="T51" s="10" t="s">
        <v>266</v>
      </c>
      <c r="U51" s="10" t="s">
        <v>69</v>
      </c>
      <c r="V51" s="11"/>
      <c r="W51" s="11"/>
      <c r="X51" s="11"/>
    </row>
    <row r="52" spans="1:24" ht="90" customHeight="1" x14ac:dyDescent="0.2">
      <c r="A52" s="8" t="s">
        <v>267</v>
      </c>
      <c r="B52" s="8" t="s">
        <v>257</v>
      </c>
      <c r="C52" s="8" t="s">
        <v>258</v>
      </c>
      <c r="D52" s="8">
        <v>13</v>
      </c>
      <c r="E52" s="8">
        <v>45</v>
      </c>
      <c r="F52" s="8" t="s">
        <v>71</v>
      </c>
      <c r="G52" s="8" t="s">
        <v>43</v>
      </c>
      <c r="H52" s="8" t="s">
        <v>44</v>
      </c>
      <c r="I52" s="8" t="s">
        <v>228</v>
      </c>
      <c r="J52" s="8" t="s">
        <v>46</v>
      </c>
      <c r="K52" s="8" t="s">
        <v>47</v>
      </c>
      <c r="L52" s="8" t="s">
        <v>48</v>
      </c>
      <c r="M52" s="8" t="s">
        <v>49</v>
      </c>
      <c r="N52" s="8" t="s">
        <v>48</v>
      </c>
      <c r="O52" s="8" t="s">
        <v>48</v>
      </c>
      <c r="P52" s="9" t="s">
        <v>50</v>
      </c>
      <c r="Q52" s="10"/>
      <c r="R52" s="10" t="s">
        <v>259</v>
      </c>
      <c r="S52" s="10">
        <v>4</v>
      </c>
      <c r="T52" s="10" t="s">
        <v>268</v>
      </c>
      <c r="U52" s="10" t="s">
        <v>73</v>
      </c>
      <c r="V52" s="11"/>
      <c r="W52" s="11"/>
      <c r="X52" s="11"/>
    </row>
    <row r="53" spans="1:24" ht="90" customHeight="1" x14ac:dyDescent="0.2">
      <c r="A53" s="8" t="s">
        <v>269</v>
      </c>
      <c r="B53" s="8" t="s">
        <v>257</v>
      </c>
      <c r="C53" s="8" t="s">
        <v>258</v>
      </c>
      <c r="D53" s="8">
        <v>9</v>
      </c>
      <c r="E53" s="8">
        <v>29</v>
      </c>
      <c r="F53" s="8" t="s">
        <v>75</v>
      </c>
      <c r="G53" s="8" t="s">
        <v>43</v>
      </c>
      <c r="H53" s="8" t="s">
        <v>44</v>
      </c>
      <c r="I53" s="8" t="s">
        <v>228</v>
      </c>
      <c r="J53" s="8" t="s">
        <v>46</v>
      </c>
      <c r="K53" s="8" t="s">
        <v>47</v>
      </c>
      <c r="L53" s="8" t="s">
        <v>90</v>
      </c>
      <c r="M53" s="8" t="s">
        <v>49</v>
      </c>
      <c r="N53" s="8" t="s">
        <v>48</v>
      </c>
      <c r="O53" s="8" t="s">
        <v>48</v>
      </c>
      <c r="P53" s="9" t="s">
        <v>50</v>
      </c>
      <c r="Q53" s="10"/>
      <c r="R53" s="10" t="s">
        <v>259</v>
      </c>
      <c r="S53" s="10">
        <v>4</v>
      </c>
      <c r="T53" s="10" t="s">
        <v>270</v>
      </c>
      <c r="U53" s="10" t="s">
        <v>77</v>
      </c>
      <c r="V53" s="11"/>
      <c r="W53" s="11"/>
      <c r="X53" s="11"/>
    </row>
    <row r="54" spans="1:24" ht="90" customHeight="1" x14ac:dyDescent="0.2">
      <c r="A54" s="8" t="s">
        <v>271</v>
      </c>
      <c r="B54" s="8" t="s">
        <v>272</v>
      </c>
      <c r="C54" s="8" t="s">
        <v>273</v>
      </c>
      <c r="D54" s="8">
        <v>10</v>
      </c>
      <c r="E54" s="8">
        <v>32</v>
      </c>
      <c r="F54" s="8" t="s">
        <v>42</v>
      </c>
      <c r="G54" s="8" t="s">
        <v>43</v>
      </c>
      <c r="H54" s="8" t="s">
        <v>44</v>
      </c>
      <c r="I54" s="8" t="s">
        <v>228</v>
      </c>
      <c r="J54" s="8" t="s">
        <v>142</v>
      </c>
      <c r="K54" s="8" t="s">
        <v>47</v>
      </c>
      <c r="L54" s="8" t="s">
        <v>48</v>
      </c>
      <c r="M54" s="8" t="s">
        <v>49</v>
      </c>
      <c r="N54" s="8" t="s">
        <v>48</v>
      </c>
      <c r="O54" s="8" t="s">
        <v>48</v>
      </c>
      <c r="P54" s="9" t="s">
        <v>50</v>
      </c>
      <c r="Q54" s="10"/>
      <c r="R54" s="10" t="s">
        <v>274</v>
      </c>
      <c r="S54" s="10">
        <v>4</v>
      </c>
      <c r="T54" s="10" t="s">
        <v>275</v>
      </c>
      <c r="U54" s="10" t="s">
        <v>53</v>
      </c>
      <c r="V54" s="11"/>
      <c r="W54" s="11"/>
      <c r="X54" s="11"/>
    </row>
    <row r="55" spans="1:24" ht="90" customHeight="1" x14ac:dyDescent="0.2">
      <c r="A55" s="8" t="s">
        <v>276</v>
      </c>
      <c r="B55" s="8" t="s">
        <v>272</v>
      </c>
      <c r="C55" s="8" t="s">
        <v>277</v>
      </c>
      <c r="D55" s="8">
        <v>10</v>
      </c>
      <c r="E55" s="8">
        <v>32</v>
      </c>
      <c r="F55" s="8" t="s">
        <v>56</v>
      </c>
      <c r="G55" s="8" t="s">
        <v>43</v>
      </c>
      <c r="H55" s="8" t="s">
        <v>44</v>
      </c>
      <c r="I55" s="8" t="s">
        <v>228</v>
      </c>
      <c r="J55" s="8" t="s">
        <v>149</v>
      </c>
      <c r="K55" s="8" t="s">
        <v>47</v>
      </c>
      <c r="L55" s="8" t="s">
        <v>48</v>
      </c>
      <c r="M55" s="8" t="s">
        <v>49</v>
      </c>
      <c r="N55" s="8" t="s">
        <v>48</v>
      </c>
      <c r="O55" s="8" t="s">
        <v>48</v>
      </c>
      <c r="P55" s="9" t="s">
        <v>50</v>
      </c>
      <c r="Q55" s="10"/>
      <c r="R55" s="10" t="s">
        <v>274</v>
      </c>
      <c r="S55" s="10">
        <v>4</v>
      </c>
      <c r="T55" s="10" t="s">
        <v>278</v>
      </c>
      <c r="U55" s="10" t="s">
        <v>59</v>
      </c>
      <c r="V55" s="11"/>
      <c r="W55" s="11"/>
      <c r="X55" s="11"/>
    </row>
    <row r="56" spans="1:24" ht="90" customHeight="1" x14ac:dyDescent="0.2">
      <c r="A56" s="8" t="s">
        <v>279</v>
      </c>
      <c r="B56" s="8" t="s">
        <v>272</v>
      </c>
      <c r="C56" s="8" t="s">
        <v>280</v>
      </c>
      <c r="D56" s="8">
        <v>8</v>
      </c>
      <c r="E56" s="8">
        <v>26</v>
      </c>
      <c r="F56" s="8" t="s">
        <v>62</v>
      </c>
      <c r="G56" s="8" t="s">
        <v>43</v>
      </c>
      <c r="H56" s="8" t="s">
        <v>44</v>
      </c>
      <c r="I56" s="8" t="s">
        <v>228</v>
      </c>
      <c r="J56" s="8" t="s">
        <v>281</v>
      </c>
      <c r="K56" s="8" t="s">
        <v>47</v>
      </c>
      <c r="L56" s="8" t="s">
        <v>48</v>
      </c>
      <c r="M56" s="8" t="s">
        <v>49</v>
      </c>
      <c r="N56" s="8" t="s">
        <v>48</v>
      </c>
      <c r="O56" s="8" t="s">
        <v>48</v>
      </c>
      <c r="P56" s="9" t="s">
        <v>50</v>
      </c>
      <c r="Q56" s="10"/>
      <c r="R56" s="10" t="s">
        <v>282</v>
      </c>
      <c r="S56" s="10">
        <v>1</v>
      </c>
      <c r="T56" s="10" t="s">
        <v>283</v>
      </c>
      <c r="U56" s="10" t="s">
        <v>284</v>
      </c>
      <c r="V56" s="11"/>
      <c r="W56" s="11"/>
      <c r="X56" s="11"/>
    </row>
    <row r="57" spans="1:24" ht="90" customHeight="1" x14ac:dyDescent="0.2">
      <c r="A57" s="8" t="s">
        <v>285</v>
      </c>
      <c r="B57" s="8" t="s">
        <v>272</v>
      </c>
      <c r="C57" s="8" t="s">
        <v>286</v>
      </c>
      <c r="D57" s="8">
        <v>7</v>
      </c>
      <c r="E57" s="8">
        <v>23</v>
      </c>
      <c r="F57" s="8" t="s">
        <v>67</v>
      </c>
      <c r="G57" s="8" t="s">
        <v>43</v>
      </c>
      <c r="H57" s="8" t="s">
        <v>44</v>
      </c>
      <c r="I57" s="8" t="s">
        <v>228</v>
      </c>
      <c r="J57" s="8" t="s">
        <v>287</v>
      </c>
      <c r="K57" s="8" t="s">
        <v>47</v>
      </c>
      <c r="L57" s="8" t="s">
        <v>48</v>
      </c>
      <c r="M57" s="8" t="s">
        <v>49</v>
      </c>
      <c r="N57" s="8" t="s">
        <v>48</v>
      </c>
      <c r="O57" s="8" t="s">
        <v>48</v>
      </c>
      <c r="P57" s="9" t="s">
        <v>50</v>
      </c>
      <c r="Q57" s="10"/>
      <c r="R57" s="10" t="s">
        <v>274</v>
      </c>
      <c r="S57" s="10">
        <v>4</v>
      </c>
      <c r="T57" s="10" t="s">
        <v>288</v>
      </c>
      <c r="U57" s="10" t="s">
        <v>69</v>
      </c>
      <c r="V57" s="11"/>
      <c r="W57" s="11"/>
      <c r="X57" s="11"/>
    </row>
    <row r="58" spans="1:24" ht="90" customHeight="1" x14ac:dyDescent="0.2">
      <c r="A58" s="8" t="s">
        <v>289</v>
      </c>
      <c r="B58" s="8" t="s">
        <v>272</v>
      </c>
      <c r="C58" s="8" t="s">
        <v>290</v>
      </c>
      <c r="D58" s="8">
        <v>10</v>
      </c>
      <c r="E58" s="8">
        <v>32</v>
      </c>
      <c r="F58" s="8" t="s">
        <v>71</v>
      </c>
      <c r="G58" s="8" t="s">
        <v>43</v>
      </c>
      <c r="H58" s="8" t="s">
        <v>44</v>
      </c>
      <c r="I58" s="8" t="s">
        <v>228</v>
      </c>
      <c r="J58" s="8" t="s">
        <v>164</v>
      </c>
      <c r="K58" s="8" t="s">
        <v>47</v>
      </c>
      <c r="L58" s="8" t="s">
        <v>48</v>
      </c>
      <c r="M58" s="8" t="s">
        <v>49</v>
      </c>
      <c r="N58" s="8" t="s">
        <v>48</v>
      </c>
      <c r="O58" s="8" t="s">
        <v>48</v>
      </c>
      <c r="P58" s="9" t="s">
        <v>50</v>
      </c>
      <c r="Q58" s="10"/>
      <c r="R58" s="10" t="s">
        <v>274</v>
      </c>
      <c r="S58" s="10">
        <v>4</v>
      </c>
      <c r="T58" s="10" t="s">
        <v>291</v>
      </c>
      <c r="U58" s="10" t="s">
        <v>73</v>
      </c>
      <c r="V58" s="11"/>
      <c r="W58" s="11"/>
      <c r="X58" s="11"/>
    </row>
    <row r="59" spans="1:24" ht="90" customHeight="1" x14ac:dyDescent="0.2">
      <c r="A59" s="8" t="s">
        <v>292</v>
      </c>
      <c r="B59" s="8" t="s">
        <v>272</v>
      </c>
      <c r="C59" s="8" t="s">
        <v>293</v>
      </c>
      <c r="D59" s="8">
        <v>11</v>
      </c>
      <c r="E59" s="8">
        <v>36</v>
      </c>
      <c r="F59" s="8" t="s">
        <v>75</v>
      </c>
      <c r="G59" s="8" t="s">
        <v>43</v>
      </c>
      <c r="H59" s="8" t="s">
        <v>44</v>
      </c>
      <c r="I59" s="8" t="s">
        <v>228</v>
      </c>
      <c r="J59" s="8" t="s">
        <v>294</v>
      </c>
      <c r="K59" s="8" t="s">
        <v>47</v>
      </c>
      <c r="L59" s="8" t="s">
        <v>48</v>
      </c>
      <c r="M59" s="8" t="s">
        <v>49</v>
      </c>
      <c r="N59" s="8" t="s">
        <v>48</v>
      </c>
      <c r="O59" s="8" t="s">
        <v>48</v>
      </c>
      <c r="P59" s="9" t="s">
        <v>50</v>
      </c>
      <c r="Q59" s="10"/>
      <c r="R59" s="10" t="s">
        <v>282</v>
      </c>
      <c r="S59" s="10">
        <v>1</v>
      </c>
      <c r="T59" s="10" t="s">
        <v>295</v>
      </c>
      <c r="U59" s="10" t="s">
        <v>296</v>
      </c>
      <c r="V59" s="11"/>
      <c r="W59" s="11"/>
      <c r="X59" s="11"/>
    </row>
    <row r="60" spans="1:24" ht="90" customHeight="1" x14ac:dyDescent="0.2">
      <c r="A60" s="8" t="s">
        <v>297</v>
      </c>
      <c r="B60" s="8" t="s">
        <v>298</v>
      </c>
      <c r="C60" s="8" t="s">
        <v>299</v>
      </c>
      <c r="D60" s="8">
        <v>12</v>
      </c>
      <c r="E60" s="8">
        <v>40</v>
      </c>
      <c r="F60" s="8" t="s">
        <v>42</v>
      </c>
      <c r="G60" s="8" t="s">
        <v>43</v>
      </c>
      <c r="H60" s="8" t="s">
        <v>44</v>
      </c>
      <c r="I60" s="8" t="s">
        <v>228</v>
      </c>
      <c r="J60" s="8" t="s">
        <v>187</v>
      </c>
      <c r="K60" s="8" t="s">
        <v>124</v>
      </c>
      <c r="L60" s="8" t="s">
        <v>48</v>
      </c>
      <c r="M60" s="8" t="s">
        <v>49</v>
      </c>
      <c r="N60" s="8" t="s">
        <v>48</v>
      </c>
      <c r="O60" s="8" t="s">
        <v>48</v>
      </c>
      <c r="P60" s="9" t="s">
        <v>176</v>
      </c>
      <c r="Q60" s="10"/>
      <c r="R60" s="10" t="s">
        <v>300</v>
      </c>
      <c r="S60" s="10"/>
      <c r="T60" s="10" t="s">
        <v>301</v>
      </c>
      <c r="U60" s="10" t="s">
        <v>179</v>
      </c>
      <c r="V60" s="11"/>
      <c r="W60" s="11"/>
      <c r="X60" s="11"/>
    </row>
    <row r="61" spans="1:24" ht="90" customHeight="1" x14ac:dyDescent="0.2">
      <c r="A61" s="8" t="s">
        <v>302</v>
      </c>
      <c r="B61" s="8" t="s">
        <v>298</v>
      </c>
      <c r="C61" s="8" t="s">
        <v>303</v>
      </c>
      <c r="D61" s="8">
        <v>14</v>
      </c>
      <c r="E61" s="8">
        <v>50</v>
      </c>
      <c r="F61" s="8" t="s">
        <v>56</v>
      </c>
      <c r="G61" s="8" t="s">
        <v>43</v>
      </c>
      <c r="H61" s="8" t="s">
        <v>44</v>
      </c>
      <c r="I61" s="8" t="s">
        <v>228</v>
      </c>
      <c r="J61" s="8" t="s">
        <v>175</v>
      </c>
      <c r="K61" s="8" t="s">
        <v>124</v>
      </c>
      <c r="L61" s="8" t="s">
        <v>48</v>
      </c>
      <c r="M61" s="8" t="s">
        <v>49</v>
      </c>
      <c r="N61" s="8" t="s">
        <v>48</v>
      </c>
      <c r="O61" s="8" t="s">
        <v>48</v>
      </c>
      <c r="P61" s="9" t="s">
        <v>176</v>
      </c>
      <c r="Q61" s="10"/>
      <c r="R61" s="10" t="s">
        <v>300</v>
      </c>
      <c r="S61" s="10"/>
      <c r="T61" s="10" t="s">
        <v>304</v>
      </c>
      <c r="U61" s="10" t="s">
        <v>184</v>
      </c>
      <c r="V61" s="11"/>
      <c r="W61" s="11"/>
      <c r="X61" s="11"/>
    </row>
    <row r="62" spans="1:24" ht="90" customHeight="1" x14ac:dyDescent="0.2">
      <c r="A62" s="8" t="s">
        <v>305</v>
      </c>
      <c r="B62" s="8" t="s">
        <v>298</v>
      </c>
      <c r="C62" s="8" t="s">
        <v>306</v>
      </c>
      <c r="D62" s="8">
        <v>10</v>
      </c>
      <c r="E62" s="8">
        <v>32</v>
      </c>
      <c r="F62" s="8" t="s">
        <v>62</v>
      </c>
      <c r="G62" s="8" t="s">
        <v>43</v>
      </c>
      <c r="H62" s="8" t="s">
        <v>44</v>
      </c>
      <c r="I62" s="8" t="s">
        <v>228</v>
      </c>
      <c r="J62" s="8" t="s">
        <v>192</v>
      </c>
      <c r="K62" s="8" t="s">
        <v>124</v>
      </c>
      <c r="L62" s="8" t="s">
        <v>48</v>
      </c>
      <c r="M62" s="8" t="s">
        <v>49</v>
      </c>
      <c r="N62" s="8" t="s">
        <v>48</v>
      </c>
      <c r="O62" s="8" t="s">
        <v>48</v>
      </c>
      <c r="P62" s="9" t="s">
        <v>176</v>
      </c>
      <c r="Q62" s="10"/>
      <c r="R62" s="10" t="s">
        <v>300</v>
      </c>
      <c r="S62" s="10"/>
      <c r="T62" s="10" t="s">
        <v>307</v>
      </c>
      <c r="U62" s="10" t="s">
        <v>189</v>
      </c>
      <c r="V62" s="11"/>
      <c r="W62" s="11"/>
      <c r="X62" s="11"/>
    </row>
    <row r="63" spans="1:24" ht="90" customHeight="1" x14ac:dyDescent="0.2">
      <c r="A63" s="8" t="s">
        <v>308</v>
      </c>
      <c r="B63" s="8" t="s">
        <v>298</v>
      </c>
      <c r="C63" s="8" t="s">
        <v>309</v>
      </c>
      <c r="D63" s="8">
        <v>12</v>
      </c>
      <c r="E63" s="8">
        <v>40</v>
      </c>
      <c r="F63" s="8" t="s">
        <v>67</v>
      </c>
      <c r="G63" s="8" t="s">
        <v>43</v>
      </c>
      <c r="H63" s="8" t="s">
        <v>44</v>
      </c>
      <c r="I63" s="8" t="s">
        <v>228</v>
      </c>
      <c r="J63" s="8" t="s">
        <v>182</v>
      </c>
      <c r="K63" s="8" t="s">
        <v>124</v>
      </c>
      <c r="L63" s="8" t="s">
        <v>48</v>
      </c>
      <c r="M63" s="8" t="s">
        <v>49</v>
      </c>
      <c r="N63" s="8" t="s">
        <v>48</v>
      </c>
      <c r="O63" s="8" t="s">
        <v>48</v>
      </c>
      <c r="P63" s="9" t="s">
        <v>176</v>
      </c>
      <c r="Q63" s="10"/>
      <c r="R63" s="10" t="s">
        <v>300</v>
      </c>
      <c r="S63" s="10"/>
      <c r="T63" s="10" t="s">
        <v>310</v>
      </c>
      <c r="U63" s="10" t="s">
        <v>194</v>
      </c>
      <c r="V63" s="11"/>
      <c r="W63" s="11"/>
      <c r="X63" s="11"/>
    </row>
    <row r="64" spans="1:24" ht="90" customHeight="1" x14ac:dyDescent="0.2">
      <c r="A64" s="8" t="s">
        <v>311</v>
      </c>
      <c r="B64" s="8" t="s">
        <v>298</v>
      </c>
      <c r="C64" s="8" t="s">
        <v>312</v>
      </c>
      <c r="D64" s="8">
        <v>16</v>
      </c>
      <c r="E64" s="8">
        <v>60</v>
      </c>
      <c r="F64" s="8" t="s">
        <v>71</v>
      </c>
      <c r="G64" s="8" t="s">
        <v>43</v>
      </c>
      <c r="H64" s="8" t="s">
        <v>44</v>
      </c>
      <c r="I64" s="8" t="s">
        <v>228</v>
      </c>
      <c r="J64" s="8" t="s">
        <v>197</v>
      </c>
      <c r="K64" s="8" t="s">
        <v>124</v>
      </c>
      <c r="L64" s="8" t="s">
        <v>48</v>
      </c>
      <c r="M64" s="8" t="s">
        <v>49</v>
      </c>
      <c r="N64" s="8" t="s">
        <v>48</v>
      </c>
      <c r="O64" s="8" t="s">
        <v>48</v>
      </c>
      <c r="P64" s="9" t="s">
        <v>176</v>
      </c>
      <c r="Q64" s="10"/>
      <c r="R64" s="10" t="s">
        <v>300</v>
      </c>
      <c r="S64" s="10"/>
      <c r="T64" s="10" t="s">
        <v>313</v>
      </c>
      <c r="U64" s="10" t="s">
        <v>199</v>
      </c>
      <c r="V64" s="11"/>
      <c r="W64" s="11"/>
      <c r="X64" s="11"/>
    </row>
    <row r="65" spans="1:24" ht="90" customHeight="1" x14ac:dyDescent="0.2">
      <c r="A65" s="8" t="s">
        <v>314</v>
      </c>
      <c r="B65" s="8" t="s">
        <v>315</v>
      </c>
      <c r="C65" s="8" t="s">
        <v>316</v>
      </c>
      <c r="D65" s="8">
        <v>15</v>
      </c>
      <c r="E65" s="8">
        <v>55</v>
      </c>
      <c r="F65" s="8" t="s">
        <v>42</v>
      </c>
      <c r="G65" s="8" t="s">
        <v>43</v>
      </c>
      <c r="H65" s="8" t="s">
        <v>44</v>
      </c>
      <c r="I65" s="8" t="s">
        <v>228</v>
      </c>
      <c r="J65" s="8" t="s">
        <v>46</v>
      </c>
      <c r="K65" s="8" t="s">
        <v>124</v>
      </c>
      <c r="L65" s="8" t="s">
        <v>48</v>
      </c>
      <c r="M65" s="8" t="s">
        <v>49</v>
      </c>
      <c r="N65" s="8" t="s">
        <v>48</v>
      </c>
      <c r="O65" s="8" t="s">
        <v>48</v>
      </c>
      <c r="P65" s="9" t="s">
        <v>50</v>
      </c>
      <c r="Q65" s="10"/>
      <c r="R65" s="10" t="s">
        <v>259</v>
      </c>
      <c r="S65" s="10"/>
      <c r="T65" s="10" t="s">
        <v>317</v>
      </c>
      <c r="U65" s="10" t="s">
        <v>318</v>
      </c>
      <c r="V65" s="11"/>
      <c r="W65" s="11"/>
      <c r="X65" s="11"/>
    </row>
    <row r="66" spans="1:24" ht="90" customHeight="1" x14ac:dyDescent="0.2">
      <c r="A66" s="8" t="s">
        <v>319</v>
      </c>
      <c r="B66" s="8" t="s">
        <v>315</v>
      </c>
      <c r="C66" s="8" t="s">
        <v>316</v>
      </c>
      <c r="D66" s="8">
        <v>16</v>
      </c>
      <c r="E66" s="8">
        <v>60</v>
      </c>
      <c r="F66" s="8" t="s">
        <v>56</v>
      </c>
      <c r="G66" s="8" t="s">
        <v>43</v>
      </c>
      <c r="H66" s="8" t="s">
        <v>44</v>
      </c>
      <c r="I66" s="8" t="s">
        <v>228</v>
      </c>
      <c r="J66" s="8" t="s">
        <v>46</v>
      </c>
      <c r="K66" s="8" t="s">
        <v>124</v>
      </c>
      <c r="L66" s="8" t="s">
        <v>48</v>
      </c>
      <c r="M66" s="8" t="s">
        <v>49</v>
      </c>
      <c r="N66" s="8" t="s">
        <v>48</v>
      </c>
      <c r="O66" s="8" t="s">
        <v>48</v>
      </c>
      <c r="P66" s="9" t="s">
        <v>50</v>
      </c>
      <c r="Q66" s="10"/>
      <c r="R66" s="10" t="s">
        <v>259</v>
      </c>
      <c r="S66" s="10"/>
      <c r="T66" s="10" t="s">
        <v>320</v>
      </c>
      <c r="U66" s="10" t="s">
        <v>321</v>
      </c>
      <c r="V66" s="11"/>
      <c r="W66" s="11"/>
      <c r="X66" s="11"/>
    </row>
    <row r="67" spans="1:24" ht="90" customHeight="1" x14ac:dyDescent="0.2">
      <c r="A67" s="8" t="s">
        <v>322</v>
      </c>
      <c r="B67" s="8" t="s">
        <v>315</v>
      </c>
      <c r="C67" s="8" t="s">
        <v>316</v>
      </c>
      <c r="D67" s="8">
        <v>7</v>
      </c>
      <c r="E67" s="8">
        <v>23</v>
      </c>
      <c r="F67" s="8" t="s">
        <v>62</v>
      </c>
      <c r="G67" s="8" t="s">
        <v>43</v>
      </c>
      <c r="H67" s="8" t="s">
        <v>44</v>
      </c>
      <c r="I67" s="8" t="s">
        <v>228</v>
      </c>
      <c r="J67" s="8" t="s">
        <v>46</v>
      </c>
      <c r="K67" s="8" t="s">
        <v>124</v>
      </c>
      <c r="L67" s="8" t="s">
        <v>48</v>
      </c>
      <c r="M67" s="8" t="s">
        <v>49</v>
      </c>
      <c r="N67" s="8" t="s">
        <v>48</v>
      </c>
      <c r="O67" s="8" t="s">
        <v>48</v>
      </c>
      <c r="P67" s="9" t="s">
        <v>50</v>
      </c>
      <c r="Q67" s="10"/>
      <c r="R67" s="10" t="s">
        <v>259</v>
      </c>
      <c r="S67" s="10"/>
      <c r="T67" s="10" t="s">
        <v>323</v>
      </c>
      <c r="U67" s="10" t="s">
        <v>324</v>
      </c>
      <c r="V67" s="11"/>
      <c r="W67" s="11"/>
      <c r="X67" s="11"/>
    </row>
    <row r="68" spans="1:24" ht="90" customHeight="1" x14ac:dyDescent="0.2">
      <c r="A68" s="8" t="s">
        <v>325</v>
      </c>
      <c r="B68" s="8" t="s">
        <v>315</v>
      </c>
      <c r="C68" s="8" t="s">
        <v>316</v>
      </c>
      <c r="D68" s="8">
        <v>8</v>
      </c>
      <c r="E68" s="8">
        <v>26</v>
      </c>
      <c r="F68" s="8" t="s">
        <v>67</v>
      </c>
      <c r="G68" s="8" t="s">
        <v>43</v>
      </c>
      <c r="H68" s="8" t="s">
        <v>44</v>
      </c>
      <c r="I68" s="8" t="s">
        <v>228</v>
      </c>
      <c r="J68" s="8" t="s">
        <v>46</v>
      </c>
      <c r="K68" s="8" t="s">
        <v>124</v>
      </c>
      <c r="L68" s="8" t="s">
        <v>48</v>
      </c>
      <c r="M68" s="8" t="s">
        <v>49</v>
      </c>
      <c r="N68" s="8" t="s">
        <v>48</v>
      </c>
      <c r="O68" s="8" t="s">
        <v>48</v>
      </c>
      <c r="P68" s="9" t="s">
        <v>50</v>
      </c>
      <c r="Q68" s="10"/>
      <c r="R68" s="10" t="s">
        <v>259</v>
      </c>
      <c r="S68" s="10"/>
      <c r="T68" s="10" t="s">
        <v>326</v>
      </c>
      <c r="U68" s="10" t="s">
        <v>327</v>
      </c>
      <c r="V68" s="11"/>
      <c r="W68" s="11"/>
      <c r="X68" s="11"/>
    </row>
    <row r="69" spans="1:24" ht="90" customHeight="1" x14ac:dyDescent="0.2">
      <c r="A69" s="8" t="s">
        <v>328</v>
      </c>
      <c r="B69" s="8" t="s">
        <v>315</v>
      </c>
      <c r="C69" s="8" t="s">
        <v>316</v>
      </c>
      <c r="D69" s="8">
        <v>9</v>
      </c>
      <c r="E69" s="8">
        <v>29</v>
      </c>
      <c r="F69" s="8" t="s">
        <v>71</v>
      </c>
      <c r="G69" s="8" t="s">
        <v>43</v>
      </c>
      <c r="H69" s="8" t="s">
        <v>44</v>
      </c>
      <c r="I69" s="8" t="s">
        <v>228</v>
      </c>
      <c r="J69" s="8" t="s">
        <v>46</v>
      </c>
      <c r="K69" s="8" t="s">
        <v>124</v>
      </c>
      <c r="L69" s="8" t="s">
        <v>48</v>
      </c>
      <c r="M69" s="8" t="s">
        <v>49</v>
      </c>
      <c r="N69" s="8" t="s">
        <v>48</v>
      </c>
      <c r="O69" s="8" t="s">
        <v>48</v>
      </c>
      <c r="P69" s="9" t="s">
        <v>50</v>
      </c>
      <c r="Q69" s="10"/>
      <c r="R69" s="10" t="s">
        <v>259</v>
      </c>
      <c r="S69" s="10"/>
      <c r="T69" s="10" t="s">
        <v>329</v>
      </c>
      <c r="U69" s="10" t="s">
        <v>330</v>
      </c>
      <c r="V69" s="11"/>
      <c r="W69" s="11"/>
      <c r="X69" s="11"/>
    </row>
    <row r="70" spans="1:24" ht="90" customHeight="1" x14ac:dyDescent="0.2">
      <c r="A70" s="8" t="s">
        <v>331</v>
      </c>
      <c r="B70" s="8" t="s">
        <v>332</v>
      </c>
      <c r="C70" s="8" t="s">
        <v>333</v>
      </c>
      <c r="D70" s="8">
        <v>7</v>
      </c>
      <c r="E70" s="8">
        <v>23</v>
      </c>
      <c r="F70" s="8" t="s">
        <v>62</v>
      </c>
      <c r="G70" s="8" t="s">
        <v>43</v>
      </c>
      <c r="H70" s="8" t="s">
        <v>44</v>
      </c>
      <c r="I70" s="8" t="s">
        <v>228</v>
      </c>
      <c r="J70" s="8" t="s">
        <v>334</v>
      </c>
      <c r="K70" s="8" t="s">
        <v>47</v>
      </c>
      <c r="L70" s="8" t="s">
        <v>48</v>
      </c>
      <c r="M70" s="8" t="s">
        <v>49</v>
      </c>
      <c r="N70" s="8" t="s">
        <v>48</v>
      </c>
      <c r="O70" s="12" t="s">
        <v>335</v>
      </c>
      <c r="P70" s="9" t="s">
        <v>176</v>
      </c>
      <c r="Q70" s="10"/>
      <c r="R70" s="10" t="s">
        <v>336</v>
      </c>
      <c r="S70" s="10"/>
      <c r="T70" s="10" t="s">
        <v>337</v>
      </c>
      <c r="U70" s="10" t="s">
        <v>189</v>
      </c>
      <c r="V70" s="11"/>
      <c r="W70" s="11"/>
      <c r="X70" s="11"/>
    </row>
    <row r="71" spans="1:24" ht="90" customHeight="1" x14ac:dyDescent="0.2">
      <c r="A71" s="8" t="s">
        <v>338</v>
      </c>
      <c r="B71" s="8" t="s">
        <v>332</v>
      </c>
      <c r="C71" s="8" t="s">
        <v>339</v>
      </c>
      <c r="D71" s="8">
        <v>8</v>
      </c>
      <c r="E71" s="8">
        <v>26</v>
      </c>
      <c r="F71" s="8" t="s">
        <v>62</v>
      </c>
      <c r="G71" s="8" t="s">
        <v>43</v>
      </c>
      <c r="H71" s="8" t="s">
        <v>44</v>
      </c>
      <c r="I71" s="8" t="s">
        <v>228</v>
      </c>
      <c r="J71" s="8" t="s">
        <v>340</v>
      </c>
      <c r="K71" s="8" t="s">
        <v>47</v>
      </c>
      <c r="L71" s="8" t="s">
        <v>48</v>
      </c>
      <c r="M71" s="8" t="s">
        <v>49</v>
      </c>
      <c r="N71" s="8" t="s">
        <v>48</v>
      </c>
      <c r="O71" s="12" t="s">
        <v>341</v>
      </c>
      <c r="P71" s="9" t="s">
        <v>176</v>
      </c>
      <c r="Q71" s="10"/>
      <c r="R71" s="10" t="s">
        <v>342</v>
      </c>
      <c r="S71" s="10"/>
      <c r="T71" s="10" t="s">
        <v>343</v>
      </c>
      <c r="U71" s="10"/>
      <c r="V71" s="11"/>
      <c r="W71" s="11"/>
      <c r="X71" s="11"/>
    </row>
    <row r="72" spans="1:24" ht="90" customHeight="1" x14ac:dyDescent="0.2">
      <c r="A72" s="8" t="s">
        <v>344</v>
      </c>
      <c r="B72" s="8" t="s">
        <v>332</v>
      </c>
      <c r="C72" s="8" t="s">
        <v>345</v>
      </c>
      <c r="D72" s="8">
        <v>9</v>
      </c>
      <c r="E72" s="8">
        <v>29</v>
      </c>
      <c r="F72" s="8" t="s">
        <v>234</v>
      </c>
      <c r="G72" s="8" t="s">
        <v>43</v>
      </c>
      <c r="H72" s="8" t="s">
        <v>44</v>
      </c>
      <c r="I72" s="8" t="s">
        <v>228</v>
      </c>
      <c r="J72" s="8" t="s">
        <v>346</v>
      </c>
      <c r="K72" s="8" t="s">
        <v>47</v>
      </c>
      <c r="L72" s="8" t="s">
        <v>48</v>
      </c>
      <c r="M72" s="8" t="s">
        <v>49</v>
      </c>
      <c r="N72" s="8" t="s">
        <v>48</v>
      </c>
      <c r="O72" s="12" t="s">
        <v>347</v>
      </c>
      <c r="P72" s="9" t="s">
        <v>176</v>
      </c>
      <c r="Q72" s="10"/>
      <c r="R72" s="10" t="s">
        <v>342</v>
      </c>
      <c r="S72" s="10"/>
      <c r="T72" s="10" t="s">
        <v>348</v>
      </c>
      <c r="U72" s="10"/>
      <c r="V72" s="11"/>
      <c r="W72" s="11"/>
      <c r="X72" s="11"/>
    </row>
    <row r="73" spans="1:24" ht="90" customHeight="1" x14ac:dyDescent="0.2">
      <c r="A73" s="8" t="s">
        <v>349</v>
      </c>
      <c r="B73" s="8" t="s">
        <v>332</v>
      </c>
      <c r="C73" s="8" t="s">
        <v>350</v>
      </c>
      <c r="D73" s="8">
        <v>10</v>
      </c>
      <c r="E73" s="8">
        <v>32</v>
      </c>
      <c r="F73" s="8" t="s">
        <v>42</v>
      </c>
      <c r="G73" s="8" t="s">
        <v>43</v>
      </c>
      <c r="H73" s="8" t="s">
        <v>44</v>
      </c>
      <c r="I73" s="8" t="s">
        <v>250</v>
      </c>
      <c r="J73" s="8" t="s">
        <v>46</v>
      </c>
      <c r="K73" s="8" t="s">
        <v>47</v>
      </c>
      <c r="L73" s="8" t="s">
        <v>90</v>
      </c>
      <c r="M73" s="8" t="s">
        <v>49</v>
      </c>
      <c r="N73" s="8" t="s">
        <v>48</v>
      </c>
      <c r="O73" s="12" t="s">
        <v>351</v>
      </c>
      <c r="P73" s="9" t="s">
        <v>91</v>
      </c>
      <c r="Q73" s="10"/>
      <c r="R73" s="10" t="s">
        <v>352</v>
      </c>
      <c r="S73" s="10"/>
      <c r="T73" s="10" t="s">
        <v>353</v>
      </c>
      <c r="U73" s="10"/>
      <c r="V73" s="11"/>
      <c r="W73" s="11"/>
      <c r="X73" s="11"/>
    </row>
    <row r="74" spans="1:24" ht="90" customHeight="1" x14ac:dyDescent="0.2">
      <c r="A74" s="8" t="s">
        <v>354</v>
      </c>
      <c r="B74" s="8" t="s">
        <v>332</v>
      </c>
      <c r="C74" s="8" t="s">
        <v>355</v>
      </c>
      <c r="D74" s="8">
        <v>6</v>
      </c>
      <c r="E74" s="8">
        <v>20</v>
      </c>
      <c r="F74" s="8" t="s">
        <v>67</v>
      </c>
      <c r="G74" s="8" t="s">
        <v>43</v>
      </c>
      <c r="H74" s="8" t="s">
        <v>44</v>
      </c>
      <c r="I74" s="8" t="s">
        <v>356</v>
      </c>
      <c r="J74" s="8" t="s">
        <v>46</v>
      </c>
      <c r="K74" s="8" t="s">
        <v>47</v>
      </c>
      <c r="L74" s="8" t="s">
        <v>90</v>
      </c>
      <c r="M74" s="8" t="s">
        <v>49</v>
      </c>
      <c r="N74" s="8" t="s">
        <v>48</v>
      </c>
      <c r="O74" s="12" t="s">
        <v>357</v>
      </c>
      <c r="P74" s="9" t="s">
        <v>91</v>
      </c>
      <c r="Q74" s="10"/>
      <c r="R74" s="10" t="s">
        <v>352</v>
      </c>
      <c r="S74" s="10"/>
      <c r="T74" s="10" t="s">
        <v>358</v>
      </c>
      <c r="U74" s="10"/>
      <c r="V74" s="11"/>
      <c r="W74" s="11"/>
      <c r="X74" s="11"/>
    </row>
    <row r="75" spans="1:24" ht="90" customHeight="1" x14ac:dyDescent="0.2">
      <c r="A75" s="8" t="s">
        <v>359</v>
      </c>
      <c r="B75" s="8" t="s">
        <v>332</v>
      </c>
      <c r="C75" s="8" t="s">
        <v>360</v>
      </c>
      <c r="D75" s="8">
        <v>11</v>
      </c>
      <c r="E75" s="8">
        <v>36</v>
      </c>
      <c r="F75" s="8" t="s">
        <v>56</v>
      </c>
      <c r="G75" s="8" t="s">
        <v>43</v>
      </c>
      <c r="H75" s="8" t="s">
        <v>44</v>
      </c>
      <c r="I75" s="8" t="s">
        <v>228</v>
      </c>
      <c r="J75" s="8" t="s">
        <v>340</v>
      </c>
      <c r="K75" s="8" t="s">
        <v>47</v>
      </c>
      <c r="L75" s="8" t="s">
        <v>48</v>
      </c>
      <c r="M75" s="8" t="s">
        <v>49</v>
      </c>
      <c r="N75" s="8" t="s">
        <v>48</v>
      </c>
      <c r="O75" s="12" t="s">
        <v>361</v>
      </c>
      <c r="P75" s="9" t="s">
        <v>176</v>
      </c>
      <c r="Q75" s="10"/>
      <c r="R75" s="10" t="s">
        <v>342</v>
      </c>
      <c r="S75" s="10"/>
      <c r="T75" s="10" t="s">
        <v>362</v>
      </c>
      <c r="U75" s="10"/>
      <c r="V75" s="11"/>
      <c r="W75" s="11"/>
      <c r="X75" s="11"/>
    </row>
    <row r="76" spans="1:24" ht="90" customHeight="1" x14ac:dyDescent="0.2">
      <c r="A76" s="8" t="s">
        <v>363</v>
      </c>
      <c r="B76" s="8" t="s">
        <v>332</v>
      </c>
      <c r="C76" s="8" t="s">
        <v>364</v>
      </c>
      <c r="D76" s="8">
        <v>12</v>
      </c>
      <c r="E76" s="8">
        <v>40</v>
      </c>
      <c r="F76" s="8" t="s">
        <v>62</v>
      </c>
      <c r="G76" s="8" t="s">
        <v>43</v>
      </c>
      <c r="H76" s="8" t="s">
        <v>44</v>
      </c>
      <c r="I76" s="8" t="s">
        <v>365</v>
      </c>
      <c r="J76" s="8" t="s">
        <v>46</v>
      </c>
      <c r="K76" s="8" t="s">
        <v>47</v>
      </c>
      <c r="L76" s="8" t="s">
        <v>48</v>
      </c>
      <c r="M76" s="8" t="s">
        <v>49</v>
      </c>
      <c r="N76" s="8" t="s">
        <v>48</v>
      </c>
      <c r="O76" s="8" t="s">
        <v>48</v>
      </c>
      <c r="P76" s="9" t="s">
        <v>91</v>
      </c>
      <c r="Q76" s="10"/>
      <c r="R76" s="10" t="s">
        <v>352</v>
      </c>
      <c r="S76" s="10"/>
      <c r="T76" s="10" t="s">
        <v>366</v>
      </c>
      <c r="U76" s="10"/>
      <c r="V76" s="11"/>
      <c r="W76" s="11"/>
      <c r="X76" s="11"/>
    </row>
    <row r="77" spans="1:24" ht="90" customHeight="1" x14ac:dyDescent="0.2">
      <c r="A77" s="8" t="s">
        <v>367</v>
      </c>
      <c r="B77" s="8" t="s">
        <v>332</v>
      </c>
      <c r="C77" s="8" t="s">
        <v>368</v>
      </c>
      <c r="D77" s="8">
        <v>13</v>
      </c>
      <c r="E77" s="8">
        <v>45</v>
      </c>
      <c r="F77" s="8" t="s">
        <v>79</v>
      </c>
      <c r="G77" s="8" t="s">
        <v>43</v>
      </c>
      <c r="H77" s="8" t="s">
        <v>44</v>
      </c>
      <c r="I77" s="8" t="s">
        <v>369</v>
      </c>
      <c r="J77" s="8" t="s">
        <v>46</v>
      </c>
      <c r="K77" s="8" t="s">
        <v>47</v>
      </c>
      <c r="L77" s="8" t="s">
        <v>48</v>
      </c>
      <c r="M77" s="8" t="s">
        <v>49</v>
      </c>
      <c r="N77" s="8" t="s">
        <v>48</v>
      </c>
      <c r="O77" s="8" t="s">
        <v>48</v>
      </c>
      <c r="P77" s="9" t="s">
        <v>91</v>
      </c>
      <c r="Q77" s="10"/>
      <c r="R77" s="10" t="s">
        <v>352</v>
      </c>
      <c r="S77" s="10"/>
      <c r="T77" s="10" t="s">
        <v>370</v>
      </c>
      <c r="U77" s="10"/>
      <c r="V77" s="11"/>
      <c r="W77" s="11"/>
      <c r="X77" s="11"/>
    </row>
    <row r="78" spans="1:24" ht="90" customHeight="1" x14ac:dyDescent="0.2">
      <c r="A78" s="8" t="s">
        <v>371</v>
      </c>
      <c r="B78" s="8" t="s">
        <v>372</v>
      </c>
      <c r="C78" s="8" t="s">
        <v>373</v>
      </c>
      <c r="D78" s="8">
        <v>5</v>
      </c>
      <c r="E78" s="8">
        <v>18</v>
      </c>
      <c r="F78" s="8" t="s">
        <v>75</v>
      </c>
      <c r="G78" s="8" t="s">
        <v>43</v>
      </c>
      <c r="H78" s="8" t="s">
        <v>44</v>
      </c>
      <c r="I78" s="8" t="s">
        <v>228</v>
      </c>
      <c r="J78" s="8" t="s">
        <v>46</v>
      </c>
      <c r="K78" s="8" t="s">
        <v>374</v>
      </c>
      <c r="L78" s="8" t="s">
        <v>48</v>
      </c>
      <c r="M78" s="8" t="s">
        <v>49</v>
      </c>
      <c r="N78" s="8" t="s">
        <v>48</v>
      </c>
      <c r="O78" s="8" t="s">
        <v>48</v>
      </c>
      <c r="P78" s="9" t="s">
        <v>50</v>
      </c>
      <c r="Q78" s="10"/>
      <c r="R78" s="10" t="s">
        <v>259</v>
      </c>
      <c r="S78" s="10"/>
      <c r="T78" s="10" t="s">
        <v>375</v>
      </c>
      <c r="U78" s="10" t="s">
        <v>376</v>
      </c>
      <c r="V78" s="11"/>
      <c r="W78" s="11"/>
      <c r="X78" s="11"/>
    </row>
    <row r="79" spans="1:24" ht="90" customHeight="1" x14ac:dyDescent="0.2">
      <c r="A79" s="8" t="s">
        <v>377</v>
      </c>
      <c r="B79" s="8" t="s">
        <v>372</v>
      </c>
      <c r="C79" s="8" t="s">
        <v>378</v>
      </c>
      <c r="D79" s="8">
        <v>11</v>
      </c>
      <c r="E79" s="8">
        <v>36</v>
      </c>
      <c r="F79" s="8" t="s">
        <v>62</v>
      </c>
      <c r="G79" s="8" t="s">
        <v>43</v>
      </c>
      <c r="H79" s="8" t="s">
        <v>44</v>
      </c>
      <c r="I79" s="8" t="s">
        <v>228</v>
      </c>
      <c r="J79" s="8" t="s">
        <v>46</v>
      </c>
      <c r="K79" s="8" t="s">
        <v>374</v>
      </c>
      <c r="L79" s="8" t="s">
        <v>374</v>
      </c>
      <c r="M79" s="8" t="s">
        <v>49</v>
      </c>
      <c r="N79" s="8" t="s">
        <v>48</v>
      </c>
      <c r="O79" s="8" t="s">
        <v>48</v>
      </c>
      <c r="P79" s="9" t="s">
        <v>50</v>
      </c>
      <c r="Q79" s="10"/>
      <c r="R79" s="10" t="s">
        <v>259</v>
      </c>
      <c r="S79" s="10"/>
      <c r="T79" s="10" t="s">
        <v>379</v>
      </c>
      <c r="U79" s="10" t="s">
        <v>324</v>
      </c>
      <c r="V79" s="11"/>
      <c r="W79" s="11"/>
      <c r="X79" s="11"/>
    </row>
    <row r="80" spans="1:24" ht="90" customHeight="1" x14ac:dyDescent="0.2">
      <c r="A80" s="8" t="s">
        <v>380</v>
      </c>
      <c r="B80" s="8" t="s">
        <v>372</v>
      </c>
      <c r="C80" s="8" t="s">
        <v>373</v>
      </c>
      <c r="D80" s="8">
        <v>11</v>
      </c>
      <c r="E80" s="8">
        <v>36</v>
      </c>
      <c r="F80" s="8" t="s">
        <v>243</v>
      </c>
      <c r="G80" s="8" t="s">
        <v>43</v>
      </c>
      <c r="H80" s="8" t="s">
        <v>44</v>
      </c>
      <c r="I80" s="8" t="s">
        <v>228</v>
      </c>
      <c r="J80" s="8" t="s">
        <v>46</v>
      </c>
      <c r="K80" s="8" t="s">
        <v>374</v>
      </c>
      <c r="L80" s="8" t="s">
        <v>48</v>
      </c>
      <c r="M80" s="8" t="s">
        <v>49</v>
      </c>
      <c r="N80" s="8" t="s">
        <v>48</v>
      </c>
      <c r="O80" s="8" t="s">
        <v>48</v>
      </c>
      <c r="P80" s="9" t="s">
        <v>50</v>
      </c>
      <c r="Q80" s="10"/>
      <c r="R80" s="10" t="s">
        <v>259</v>
      </c>
      <c r="S80" s="10"/>
      <c r="T80" s="10" t="s">
        <v>381</v>
      </c>
      <c r="U80" s="10" t="s">
        <v>382</v>
      </c>
      <c r="V80" s="11"/>
      <c r="W80" s="11"/>
      <c r="X80" s="11"/>
    </row>
    <row r="81" spans="1:24" ht="90" customHeight="1" x14ac:dyDescent="0.2">
      <c r="A81" s="8" t="s">
        <v>383</v>
      </c>
      <c r="B81" s="8" t="s">
        <v>372</v>
      </c>
      <c r="C81" s="8" t="s">
        <v>384</v>
      </c>
      <c r="D81" s="8">
        <v>8</v>
      </c>
      <c r="E81" s="8">
        <v>26</v>
      </c>
      <c r="F81" s="8" t="s">
        <v>42</v>
      </c>
      <c r="G81" s="8" t="s">
        <v>43</v>
      </c>
      <c r="H81" s="8" t="s">
        <v>44</v>
      </c>
      <c r="I81" s="8" t="s">
        <v>385</v>
      </c>
      <c r="J81" s="8" t="s">
        <v>46</v>
      </c>
      <c r="K81" s="8" t="s">
        <v>374</v>
      </c>
      <c r="L81" s="8" t="s">
        <v>48</v>
      </c>
      <c r="M81" s="8" t="s">
        <v>49</v>
      </c>
      <c r="N81" s="8" t="s">
        <v>48</v>
      </c>
      <c r="O81" s="8" t="s">
        <v>48</v>
      </c>
      <c r="P81" s="9" t="s">
        <v>125</v>
      </c>
      <c r="Q81" s="10"/>
      <c r="R81" s="10" t="s">
        <v>386</v>
      </c>
      <c r="S81" s="10"/>
      <c r="T81" s="10" t="s">
        <v>387</v>
      </c>
      <c r="U81" s="10" t="s">
        <v>128</v>
      </c>
      <c r="V81" s="11"/>
      <c r="W81" s="11"/>
      <c r="X81" s="11"/>
    </row>
    <row r="82" spans="1:24" ht="90" customHeight="1" x14ac:dyDescent="0.2">
      <c r="A82" s="8" t="s">
        <v>388</v>
      </c>
      <c r="B82" s="8" t="s">
        <v>372</v>
      </c>
      <c r="C82" s="8" t="s">
        <v>389</v>
      </c>
      <c r="D82" s="8">
        <v>12</v>
      </c>
      <c r="E82" s="8">
        <v>40</v>
      </c>
      <c r="F82" s="8" t="s">
        <v>79</v>
      </c>
      <c r="G82" s="8" t="s">
        <v>43</v>
      </c>
      <c r="H82" s="8" t="s">
        <v>44</v>
      </c>
      <c r="I82" s="8" t="s">
        <v>390</v>
      </c>
      <c r="J82" s="8" t="s">
        <v>46</v>
      </c>
      <c r="K82" s="8" t="s">
        <v>47</v>
      </c>
      <c r="L82" s="8" t="s">
        <v>48</v>
      </c>
      <c r="M82" s="8" t="s">
        <v>49</v>
      </c>
      <c r="N82" s="8" t="s">
        <v>48</v>
      </c>
      <c r="O82" s="8" t="s">
        <v>48</v>
      </c>
      <c r="P82" s="9" t="s">
        <v>125</v>
      </c>
      <c r="Q82" s="10"/>
      <c r="R82" s="10" t="s">
        <v>126</v>
      </c>
      <c r="S82" s="10"/>
      <c r="T82" s="10" t="s">
        <v>391</v>
      </c>
      <c r="U82" s="10" t="s">
        <v>128</v>
      </c>
      <c r="V82" s="11"/>
      <c r="W82" s="11"/>
      <c r="X82" s="11"/>
    </row>
    <row r="83" spans="1:24" ht="90" customHeight="1" x14ac:dyDescent="0.2">
      <c r="A83" s="8" t="s">
        <v>392</v>
      </c>
      <c r="B83" s="8" t="s">
        <v>393</v>
      </c>
      <c r="C83" s="8" t="s">
        <v>394</v>
      </c>
      <c r="D83" s="8">
        <v>7</v>
      </c>
      <c r="E83" s="8">
        <v>23</v>
      </c>
      <c r="F83" s="8" t="s">
        <v>395</v>
      </c>
      <c r="G83" s="8" t="s">
        <v>43</v>
      </c>
      <c r="H83" s="8" t="s">
        <v>44</v>
      </c>
      <c r="I83" s="8" t="s">
        <v>123</v>
      </c>
      <c r="J83" s="8" t="s">
        <v>46</v>
      </c>
      <c r="K83" s="8" t="s">
        <v>47</v>
      </c>
      <c r="L83" s="8" t="s">
        <v>48</v>
      </c>
      <c r="M83" s="8" t="s">
        <v>49</v>
      </c>
      <c r="N83" s="8" t="s">
        <v>48</v>
      </c>
      <c r="O83" s="8" t="s">
        <v>48</v>
      </c>
      <c r="P83" s="9" t="s">
        <v>176</v>
      </c>
      <c r="Q83" s="10"/>
      <c r="R83" s="10" t="s">
        <v>396</v>
      </c>
      <c r="S83" s="10"/>
      <c r="T83" s="10" t="s">
        <v>397</v>
      </c>
      <c r="U83" s="10" t="s">
        <v>398</v>
      </c>
      <c r="V83" s="11"/>
      <c r="W83" s="11"/>
      <c r="X83" s="11"/>
    </row>
    <row r="84" spans="1:24" ht="90" customHeight="1" x14ac:dyDescent="0.2">
      <c r="A84" s="8" t="s">
        <v>399</v>
      </c>
      <c r="B84" s="8" t="s">
        <v>393</v>
      </c>
      <c r="C84" s="8" t="s">
        <v>400</v>
      </c>
      <c r="D84" s="8">
        <v>9</v>
      </c>
      <c r="E84" s="8">
        <v>29</v>
      </c>
      <c r="F84" s="8" t="s">
        <v>62</v>
      </c>
      <c r="G84" s="8" t="s">
        <v>43</v>
      </c>
      <c r="H84" s="8" t="s">
        <v>44</v>
      </c>
      <c r="I84" s="8" t="s">
        <v>401</v>
      </c>
      <c r="J84" s="8" t="s">
        <v>46</v>
      </c>
      <c r="K84" s="8" t="s">
        <v>47</v>
      </c>
      <c r="L84" s="8" t="s">
        <v>48</v>
      </c>
      <c r="M84" s="8" t="s">
        <v>49</v>
      </c>
      <c r="N84" s="8" t="s">
        <v>48</v>
      </c>
      <c r="O84" s="8" t="s">
        <v>48</v>
      </c>
      <c r="P84" s="9" t="s">
        <v>50</v>
      </c>
      <c r="Q84" s="10"/>
      <c r="R84" s="10" t="s">
        <v>51</v>
      </c>
      <c r="S84" s="10">
        <v>4</v>
      </c>
      <c r="T84" s="10" t="s">
        <v>402</v>
      </c>
      <c r="U84" s="10" t="s">
        <v>65</v>
      </c>
      <c r="V84" s="11"/>
      <c r="W84" s="11"/>
      <c r="X84" s="11"/>
    </row>
    <row r="85" spans="1:24" ht="90" customHeight="1" x14ac:dyDescent="0.2">
      <c r="A85" s="8" t="s">
        <v>403</v>
      </c>
      <c r="B85" s="8" t="s">
        <v>393</v>
      </c>
      <c r="C85" s="8" t="s">
        <v>404</v>
      </c>
      <c r="D85" s="8">
        <v>7</v>
      </c>
      <c r="E85" s="8">
        <v>23</v>
      </c>
      <c r="F85" s="8" t="s">
        <v>42</v>
      </c>
      <c r="G85" s="8" t="s">
        <v>43</v>
      </c>
      <c r="H85" s="8" t="s">
        <v>44</v>
      </c>
      <c r="I85" s="8" t="s">
        <v>228</v>
      </c>
      <c r="J85" s="8" t="s">
        <v>405</v>
      </c>
      <c r="K85" s="8" t="s">
        <v>124</v>
      </c>
      <c r="L85" s="8" t="s">
        <v>48</v>
      </c>
      <c r="M85" s="8" t="s">
        <v>49</v>
      </c>
      <c r="N85" s="8" t="s">
        <v>48</v>
      </c>
      <c r="O85" s="8" t="s">
        <v>48</v>
      </c>
      <c r="P85" s="9" t="s">
        <v>176</v>
      </c>
      <c r="Q85" s="10"/>
      <c r="R85" s="10" t="s">
        <v>300</v>
      </c>
      <c r="S85" s="10"/>
      <c r="T85" s="10" t="s">
        <v>406</v>
      </c>
      <c r="U85" s="10" t="s">
        <v>179</v>
      </c>
      <c r="V85" s="11"/>
      <c r="W85" s="11"/>
      <c r="X85" s="11"/>
    </row>
    <row r="86" spans="1:24" ht="90" customHeight="1" x14ac:dyDescent="0.2">
      <c r="A86" s="8" t="s">
        <v>407</v>
      </c>
      <c r="B86" s="8" t="s">
        <v>393</v>
      </c>
      <c r="C86" s="8" t="s">
        <v>408</v>
      </c>
      <c r="D86" s="8">
        <v>9</v>
      </c>
      <c r="E86" s="8">
        <v>29</v>
      </c>
      <c r="F86" s="8" t="s">
        <v>62</v>
      </c>
      <c r="G86" s="8" t="s">
        <v>43</v>
      </c>
      <c r="H86" s="8" t="s">
        <v>44</v>
      </c>
      <c r="I86" s="8" t="s">
        <v>228</v>
      </c>
      <c r="J86" s="8" t="s">
        <v>46</v>
      </c>
      <c r="K86" s="8" t="s">
        <v>47</v>
      </c>
      <c r="L86" s="8" t="s">
        <v>48</v>
      </c>
      <c r="M86" s="8" t="s">
        <v>49</v>
      </c>
      <c r="N86" s="8" t="s">
        <v>48</v>
      </c>
      <c r="O86" s="8" t="s">
        <v>48</v>
      </c>
      <c r="P86" s="9" t="s">
        <v>50</v>
      </c>
      <c r="Q86" s="10"/>
      <c r="R86" s="10" t="s">
        <v>259</v>
      </c>
      <c r="S86" s="10">
        <v>4</v>
      </c>
      <c r="T86" s="10" t="s">
        <v>409</v>
      </c>
      <c r="U86" s="10" t="s">
        <v>65</v>
      </c>
      <c r="V86" s="11"/>
      <c r="W86" s="11"/>
      <c r="X86" s="11"/>
    </row>
    <row r="87" spans="1:24" ht="90" customHeight="1" x14ac:dyDescent="0.2">
      <c r="A87" s="8" t="s">
        <v>410</v>
      </c>
      <c r="B87" s="8" t="s">
        <v>393</v>
      </c>
      <c r="C87" s="8" t="s">
        <v>411</v>
      </c>
      <c r="D87" s="8">
        <v>14</v>
      </c>
      <c r="E87" s="8">
        <v>50</v>
      </c>
      <c r="F87" s="8" t="s">
        <v>42</v>
      </c>
      <c r="G87" s="8" t="s">
        <v>43</v>
      </c>
      <c r="H87" s="8" t="s">
        <v>44</v>
      </c>
      <c r="I87" s="8" t="s">
        <v>412</v>
      </c>
      <c r="J87" s="8" t="s">
        <v>182</v>
      </c>
      <c r="K87" s="8" t="s">
        <v>47</v>
      </c>
      <c r="L87" s="8" t="s">
        <v>48</v>
      </c>
      <c r="M87" s="8" t="s">
        <v>49</v>
      </c>
      <c r="N87" s="8" t="s">
        <v>48</v>
      </c>
      <c r="O87" s="8" t="s">
        <v>48</v>
      </c>
      <c r="P87" s="9" t="s">
        <v>176</v>
      </c>
      <c r="Q87" s="10"/>
      <c r="R87" s="10" t="s">
        <v>177</v>
      </c>
      <c r="S87" s="10"/>
      <c r="T87" s="10" t="s">
        <v>413</v>
      </c>
      <c r="U87" s="10" t="s">
        <v>179</v>
      </c>
      <c r="V87" s="11"/>
      <c r="W87" s="11"/>
      <c r="X87" s="11"/>
    </row>
    <row r="88" spans="1:24" ht="90" customHeight="1" x14ac:dyDescent="0.2">
      <c r="A88" s="8" t="s">
        <v>414</v>
      </c>
      <c r="B88" s="8" t="s">
        <v>393</v>
      </c>
      <c r="C88" s="8" t="s">
        <v>415</v>
      </c>
      <c r="D88" s="8">
        <v>9</v>
      </c>
      <c r="E88" s="8">
        <v>29</v>
      </c>
      <c r="F88" s="8" t="s">
        <v>395</v>
      </c>
      <c r="G88" s="8" t="s">
        <v>43</v>
      </c>
      <c r="H88" s="8" t="s">
        <v>44</v>
      </c>
      <c r="I88" s="8" t="s">
        <v>228</v>
      </c>
      <c r="J88" s="8" t="s">
        <v>46</v>
      </c>
      <c r="K88" s="8" t="s">
        <v>124</v>
      </c>
      <c r="L88" s="8" t="s">
        <v>48</v>
      </c>
      <c r="M88" s="8" t="s">
        <v>49</v>
      </c>
      <c r="N88" s="8" t="s">
        <v>48</v>
      </c>
      <c r="O88" s="8" t="s">
        <v>48</v>
      </c>
      <c r="P88" s="9" t="s">
        <v>50</v>
      </c>
      <c r="Q88" s="10"/>
      <c r="R88" s="10" t="s">
        <v>259</v>
      </c>
      <c r="S88" s="10"/>
      <c r="T88" s="10" t="s">
        <v>416</v>
      </c>
      <c r="U88" s="10" t="s">
        <v>417</v>
      </c>
      <c r="V88" s="11"/>
      <c r="W88" s="11"/>
      <c r="X88" s="11"/>
    </row>
    <row r="89" spans="1:24" ht="90" customHeight="1" x14ac:dyDescent="0.2">
      <c r="A89" s="8" t="s">
        <v>418</v>
      </c>
      <c r="B89" s="8" t="s">
        <v>419</v>
      </c>
      <c r="C89" s="8" t="s">
        <v>420</v>
      </c>
      <c r="D89" s="8">
        <v>10</v>
      </c>
      <c r="E89" s="8">
        <v>32</v>
      </c>
      <c r="F89" s="8" t="s">
        <v>42</v>
      </c>
      <c r="G89" s="8" t="s">
        <v>43</v>
      </c>
      <c r="H89" s="8" t="s">
        <v>44</v>
      </c>
      <c r="I89" s="8" t="s">
        <v>228</v>
      </c>
      <c r="J89" s="8" t="s">
        <v>46</v>
      </c>
      <c r="K89" s="8" t="s">
        <v>47</v>
      </c>
      <c r="L89" s="8" t="s">
        <v>48</v>
      </c>
      <c r="M89" s="8" t="s">
        <v>421</v>
      </c>
      <c r="N89" s="8" t="s">
        <v>48</v>
      </c>
      <c r="O89" s="8" t="s">
        <v>48</v>
      </c>
      <c r="P89" s="9" t="s">
        <v>143</v>
      </c>
      <c r="Q89" s="10"/>
      <c r="R89" s="10" t="s">
        <v>422</v>
      </c>
      <c r="S89" s="10"/>
      <c r="T89" s="10" t="s">
        <v>423</v>
      </c>
      <c r="U89" s="10" t="s">
        <v>424</v>
      </c>
      <c r="V89" s="11"/>
      <c r="W89" s="11"/>
      <c r="X89" s="11"/>
    </row>
    <row r="90" spans="1:24" ht="90" customHeight="1" x14ac:dyDescent="0.2">
      <c r="A90" s="8" t="s">
        <v>425</v>
      </c>
      <c r="B90" s="8" t="s">
        <v>419</v>
      </c>
      <c r="C90" s="8" t="s">
        <v>426</v>
      </c>
      <c r="D90" s="8">
        <v>6</v>
      </c>
      <c r="E90" s="8">
        <v>20</v>
      </c>
      <c r="F90" s="8" t="s">
        <v>75</v>
      </c>
      <c r="G90" s="8" t="s">
        <v>43</v>
      </c>
      <c r="H90" s="8" t="s">
        <v>44</v>
      </c>
      <c r="I90" s="8" t="s">
        <v>63</v>
      </c>
      <c r="J90" s="8" t="s">
        <v>46</v>
      </c>
      <c r="K90" s="8" t="s">
        <v>47</v>
      </c>
      <c r="L90" s="8" t="s">
        <v>48</v>
      </c>
      <c r="M90" s="8" t="s">
        <v>421</v>
      </c>
      <c r="N90" s="8" t="s">
        <v>48</v>
      </c>
      <c r="O90" s="8" t="s">
        <v>48</v>
      </c>
      <c r="P90" s="9" t="s">
        <v>143</v>
      </c>
      <c r="Q90" s="10"/>
      <c r="R90" s="10" t="s">
        <v>427</v>
      </c>
      <c r="S90" s="10"/>
      <c r="T90" s="10" t="s">
        <v>428</v>
      </c>
      <c r="U90" s="10" t="s">
        <v>429</v>
      </c>
      <c r="V90" s="11"/>
      <c r="W90" s="11"/>
      <c r="X90" s="11"/>
    </row>
    <row r="91" spans="1:24" ht="90" customHeight="1" x14ac:dyDescent="0.2">
      <c r="A91" s="8" t="s">
        <v>430</v>
      </c>
      <c r="B91" s="8" t="s">
        <v>419</v>
      </c>
      <c r="C91" s="8" t="s">
        <v>431</v>
      </c>
      <c r="D91" s="8">
        <v>13</v>
      </c>
      <c r="E91" s="8">
        <v>45</v>
      </c>
      <c r="F91" s="8" t="s">
        <v>234</v>
      </c>
      <c r="G91" s="8" t="s">
        <v>43</v>
      </c>
      <c r="H91" s="8" t="s">
        <v>44</v>
      </c>
      <c r="I91" s="8" t="s">
        <v>228</v>
      </c>
      <c r="J91" s="8" t="s">
        <v>46</v>
      </c>
      <c r="K91" s="8" t="s">
        <v>124</v>
      </c>
      <c r="L91" s="8" t="s">
        <v>48</v>
      </c>
      <c r="M91" s="8" t="s">
        <v>432</v>
      </c>
      <c r="N91" s="8" t="s">
        <v>48</v>
      </c>
      <c r="O91" s="8" t="s">
        <v>48</v>
      </c>
      <c r="P91" s="9" t="s">
        <v>125</v>
      </c>
      <c r="Q91" s="10"/>
      <c r="R91" s="10" t="s">
        <v>433</v>
      </c>
      <c r="S91" s="10"/>
      <c r="T91" s="10" t="s">
        <v>434</v>
      </c>
      <c r="U91" s="10" t="s">
        <v>128</v>
      </c>
      <c r="V91" s="11"/>
      <c r="W91" s="11"/>
      <c r="X91" s="11"/>
    </row>
    <row r="92" spans="1:24" ht="90" customHeight="1" x14ac:dyDescent="0.2">
      <c r="A92" s="8" t="s">
        <v>435</v>
      </c>
      <c r="B92" s="8" t="s">
        <v>419</v>
      </c>
      <c r="C92" s="8" t="s">
        <v>436</v>
      </c>
      <c r="D92" s="8">
        <v>13</v>
      </c>
      <c r="E92" s="8">
        <v>45</v>
      </c>
      <c r="F92" s="8" t="s">
        <v>79</v>
      </c>
      <c r="G92" s="8" t="s">
        <v>43</v>
      </c>
      <c r="H92" s="8" t="s">
        <v>44</v>
      </c>
      <c r="I92" s="8" t="s">
        <v>228</v>
      </c>
      <c r="J92" s="8" t="s">
        <v>437</v>
      </c>
      <c r="K92" s="8" t="s">
        <v>47</v>
      </c>
      <c r="L92" s="8" t="s">
        <v>48</v>
      </c>
      <c r="M92" s="8" t="s">
        <v>432</v>
      </c>
      <c r="N92" s="8" t="s">
        <v>48</v>
      </c>
      <c r="O92" s="8" t="s">
        <v>48</v>
      </c>
      <c r="P92" s="9" t="s">
        <v>125</v>
      </c>
      <c r="Q92" s="10"/>
      <c r="R92" s="10" t="s">
        <v>433</v>
      </c>
      <c r="S92" s="10"/>
      <c r="T92" s="10" t="s">
        <v>438</v>
      </c>
      <c r="U92" s="10" t="s">
        <v>128</v>
      </c>
      <c r="V92" s="11"/>
      <c r="W92" s="11"/>
      <c r="X92" s="11"/>
    </row>
    <row r="93" spans="1:24" ht="90" customHeight="1" x14ac:dyDescent="0.2">
      <c r="A93" s="8" t="s">
        <v>439</v>
      </c>
      <c r="B93" s="8" t="s">
        <v>419</v>
      </c>
      <c r="C93" s="8" t="s">
        <v>440</v>
      </c>
      <c r="D93" s="8">
        <v>12</v>
      </c>
      <c r="E93" s="8">
        <v>40</v>
      </c>
      <c r="F93" s="8" t="s">
        <v>243</v>
      </c>
      <c r="G93" s="8" t="s">
        <v>43</v>
      </c>
      <c r="H93" s="8" t="s">
        <v>44</v>
      </c>
      <c r="I93" s="8" t="s">
        <v>228</v>
      </c>
      <c r="J93" s="8" t="s">
        <v>46</v>
      </c>
      <c r="K93" s="8" t="s">
        <v>47</v>
      </c>
      <c r="L93" s="8" t="s">
        <v>48</v>
      </c>
      <c r="M93" s="8" t="s">
        <v>49</v>
      </c>
      <c r="N93" s="8" t="s">
        <v>48</v>
      </c>
      <c r="O93" s="8" t="s">
        <v>48</v>
      </c>
      <c r="P93" s="9" t="s">
        <v>50</v>
      </c>
      <c r="Q93" s="10"/>
      <c r="R93" s="10" t="s">
        <v>259</v>
      </c>
      <c r="S93" s="10">
        <v>4</v>
      </c>
      <c r="T93" s="10" t="s">
        <v>441</v>
      </c>
      <c r="U93" s="10" t="s">
        <v>442</v>
      </c>
      <c r="V93" s="11"/>
      <c r="W93" s="11"/>
      <c r="X93" s="11"/>
    </row>
    <row r="94" spans="1:24" ht="90" customHeight="1" x14ac:dyDescent="0.2">
      <c r="A94" s="8" t="s">
        <v>443</v>
      </c>
      <c r="B94" s="8" t="s">
        <v>444</v>
      </c>
      <c r="C94" s="8" t="s">
        <v>445</v>
      </c>
      <c r="D94" s="8">
        <v>10</v>
      </c>
      <c r="E94" s="8">
        <v>32</v>
      </c>
      <c r="F94" s="8" t="s">
        <v>42</v>
      </c>
      <c r="G94" s="8" t="s">
        <v>43</v>
      </c>
      <c r="H94" s="8" t="s">
        <v>44</v>
      </c>
      <c r="I94" s="8" t="s">
        <v>228</v>
      </c>
      <c r="J94" s="8" t="s">
        <v>446</v>
      </c>
      <c r="K94" s="8" t="s">
        <v>47</v>
      </c>
      <c r="L94" s="8" t="s">
        <v>48</v>
      </c>
      <c r="M94" s="8" t="s">
        <v>49</v>
      </c>
      <c r="N94" s="8" t="s">
        <v>48</v>
      </c>
      <c r="O94" s="8" t="s">
        <v>48</v>
      </c>
      <c r="P94" s="9" t="s">
        <v>143</v>
      </c>
      <c r="Q94" s="10"/>
      <c r="R94" s="10" t="s">
        <v>447</v>
      </c>
      <c r="S94" s="10"/>
      <c r="T94" s="10" t="s">
        <v>448</v>
      </c>
      <c r="U94" s="10" t="s">
        <v>424</v>
      </c>
      <c r="V94" s="11"/>
      <c r="W94" s="11"/>
      <c r="X94" s="11"/>
    </row>
    <row r="95" spans="1:24" ht="90" customHeight="1" x14ac:dyDescent="0.2">
      <c r="A95" s="8" t="s">
        <v>449</v>
      </c>
      <c r="B95" s="8" t="s">
        <v>444</v>
      </c>
      <c r="C95" s="8" t="s">
        <v>450</v>
      </c>
      <c r="D95" s="8">
        <v>11</v>
      </c>
      <c r="E95" s="8">
        <v>36</v>
      </c>
      <c r="F95" s="8" t="s">
        <v>56</v>
      </c>
      <c r="G95" s="8" t="s">
        <v>43</v>
      </c>
      <c r="H95" s="8" t="s">
        <v>44</v>
      </c>
      <c r="I95" s="8" t="s">
        <v>228</v>
      </c>
      <c r="J95" s="8" t="s">
        <v>451</v>
      </c>
      <c r="K95" s="8" t="s">
        <v>124</v>
      </c>
      <c r="L95" s="8" t="s">
        <v>48</v>
      </c>
      <c r="M95" s="8" t="s">
        <v>49</v>
      </c>
      <c r="N95" s="8" t="s">
        <v>48</v>
      </c>
      <c r="O95" s="8" t="s">
        <v>48</v>
      </c>
      <c r="P95" s="9" t="s">
        <v>452</v>
      </c>
      <c r="Q95" s="10"/>
      <c r="R95" s="10" t="s">
        <v>453</v>
      </c>
      <c r="S95" s="10">
        <v>4</v>
      </c>
      <c r="T95" s="10" t="s">
        <v>454</v>
      </c>
      <c r="U95" s="10" t="s">
        <v>455</v>
      </c>
      <c r="V95" s="11"/>
      <c r="W95" s="11"/>
      <c r="X95" s="11"/>
    </row>
    <row r="96" spans="1:24" ht="90" customHeight="1" x14ac:dyDescent="0.2">
      <c r="A96" s="8" t="s">
        <v>456</v>
      </c>
      <c r="B96" s="8" t="s">
        <v>444</v>
      </c>
      <c r="C96" s="8" t="s">
        <v>457</v>
      </c>
      <c r="D96" s="8">
        <v>12</v>
      </c>
      <c r="E96" s="8">
        <v>40</v>
      </c>
      <c r="F96" s="8" t="s">
        <v>79</v>
      </c>
      <c r="G96" s="8" t="s">
        <v>43</v>
      </c>
      <c r="H96" s="8" t="s">
        <v>44</v>
      </c>
      <c r="I96" s="8" t="s">
        <v>228</v>
      </c>
      <c r="J96" s="8" t="s">
        <v>458</v>
      </c>
      <c r="K96" s="8" t="s">
        <v>124</v>
      </c>
      <c r="L96" s="8" t="s">
        <v>48</v>
      </c>
      <c r="M96" s="8" t="s">
        <v>49</v>
      </c>
      <c r="N96" s="8" t="s">
        <v>48</v>
      </c>
      <c r="O96" s="8" t="s">
        <v>48</v>
      </c>
      <c r="P96" s="9" t="s">
        <v>459</v>
      </c>
      <c r="Q96" s="10"/>
      <c r="R96" s="10" t="s">
        <v>460</v>
      </c>
      <c r="S96" s="10">
        <v>4</v>
      </c>
      <c r="T96" s="10" t="s">
        <v>461</v>
      </c>
      <c r="U96" s="10" t="s">
        <v>462</v>
      </c>
      <c r="V96" s="11"/>
      <c r="W96" s="11"/>
      <c r="X96" s="11"/>
    </row>
    <row r="97" spans="1:24" ht="90" customHeight="1" x14ac:dyDescent="0.2">
      <c r="A97" s="8" t="s">
        <v>463</v>
      </c>
      <c r="B97" s="8" t="s">
        <v>444</v>
      </c>
      <c r="C97" s="8" t="s">
        <v>464</v>
      </c>
      <c r="D97" s="8">
        <v>13</v>
      </c>
      <c r="E97" s="8">
        <v>45</v>
      </c>
      <c r="F97" s="8" t="s">
        <v>243</v>
      </c>
      <c r="G97" s="8" t="s">
        <v>43</v>
      </c>
      <c r="H97" s="8" t="s">
        <v>44</v>
      </c>
      <c r="I97" s="8" t="s">
        <v>228</v>
      </c>
      <c r="J97" s="8" t="s">
        <v>465</v>
      </c>
      <c r="K97" s="8" t="s">
        <v>47</v>
      </c>
      <c r="L97" s="8" t="s">
        <v>48</v>
      </c>
      <c r="M97" s="8" t="s">
        <v>49</v>
      </c>
      <c r="N97" s="8" t="s">
        <v>48</v>
      </c>
      <c r="O97" s="8" t="s">
        <v>48</v>
      </c>
      <c r="P97" s="9" t="s">
        <v>176</v>
      </c>
      <c r="Q97" s="10"/>
      <c r="R97" s="10" t="s">
        <v>466</v>
      </c>
      <c r="S97" s="10">
        <v>4</v>
      </c>
      <c r="T97" s="10" t="s">
        <v>467</v>
      </c>
      <c r="U97" s="10" t="s">
        <v>468</v>
      </c>
      <c r="V97" s="11"/>
      <c r="W97" s="11"/>
      <c r="X97" s="11"/>
    </row>
    <row r="98" spans="1:24" ht="90" customHeight="1" x14ac:dyDescent="0.2">
      <c r="A98" s="8" t="s">
        <v>469</v>
      </c>
      <c r="B98" s="8" t="s">
        <v>444</v>
      </c>
      <c r="C98" s="8" t="s">
        <v>445</v>
      </c>
      <c r="D98" s="8">
        <v>14</v>
      </c>
      <c r="E98" s="8">
        <v>50</v>
      </c>
      <c r="F98" s="8" t="s">
        <v>67</v>
      </c>
      <c r="G98" s="8" t="s">
        <v>43</v>
      </c>
      <c r="H98" s="8" t="s">
        <v>44</v>
      </c>
      <c r="I98" s="8" t="s">
        <v>228</v>
      </c>
      <c r="J98" s="8" t="s">
        <v>446</v>
      </c>
      <c r="K98" s="8" t="s">
        <v>124</v>
      </c>
      <c r="L98" s="8" t="s">
        <v>48</v>
      </c>
      <c r="M98" s="8" t="s">
        <v>49</v>
      </c>
      <c r="N98" s="8" t="s">
        <v>48</v>
      </c>
      <c r="O98" s="8" t="s">
        <v>48</v>
      </c>
      <c r="P98" s="9" t="s">
        <v>50</v>
      </c>
      <c r="Q98" s="10"/>
      <c r="R98" s="10" t="s">
        <v>274</v>
      </c>
      <c r="S98" s="10"/>
      <c r="T98" s="10" t="s">
        <v>470</v>
      </c>
      <c r="U98" s="10" t="s">
        <v>327</v>
      </c>
      <c r="V98" s="11"/>
      <c r="W98" s="11"/>
      <c r="X98" s="11"/>
    </row>
    <row r="99" spans="1:24" ht="90" customHeight="1" x14ac:dyDescent="0.2">
      <c r="A99" s="8" t="s">
        <v>471</v>
      </c>
      <c r="B99" s="8" t="s">
        <v>444</v>
      </c>
      <c r="C99" s="8" t="s">
        <v>450</v>
      </c>
      <c r="D99" s="8">
        <v>15</v>
      </c>
      <c r="E99" s="8">
        <v>55</v>
      </c>
      <c r="F99" s="8" t="s">
        <v>62</v>
      </c>
      <c r="G99" s="8" t="s">
        <v>43</v>
      </c>
      <c r="H99" s="8" t="s">
        <v>44</v>
      </c>
      <c r="I99" s="8" t="s">
        <v>228</v>
      </c>
      <c r="J99" s="8" t="s">
        <v>451</v>
      </c>
      <c r="K99" s="8" t="s">
        <v>124</v>
      </c>
      <c r="L99" s="8" t="s">
        <v>48</v>
      </c>
      <c r="M99" s="8" t="s">
        <v>49</v>
      </c>
      <c r="N99" s="8" t="s">
        <v>48</v>
      </c>
      <c r="O99" s="8" t="s">
        <v>48</v>
      </c>
      <c r="P99" s="9" t="s">
        <v>452</v>
      </c>
      <c r="Q99" s="10"/>
      <c r="R99" s="10" t="s">
        <v>453</v>
      </c>
      <c r="S99" s="10">
        <v>4</v>
      </c>
      <c r="T99" s="10" t="s">
        <v>472</v>
      </c>
      <c r="U99" s="10" t="s">
        <v>473</v>
      </c>
      <c r="V99" s="11"/>
      <c r="W99" s="11"/>
      <c r="X99" s="11"/>
    </row>
    <row r="100" spans="1:24" ht="90" customHeight="1" x14ac:dyDescent="0.2">
      <c r="A100" s="8" t="s">
        <v>474</v>
      </c>
      <c r="B100" s="8" t="s">
        <v>444</v>
      </c>
      <c r="C100" s="8" t="s">
        <v>457</v>
      </c>
      <c r="D100" s="8">
        <v>10</v>
      </c>
      <c r="E100" s="8">
        <v>32</v>
      </c>
      <c r="F100" s="8" t="s">
        <v>71</v>
      </c>
      <c r="G100" s="8" t="s">
        <v>43</v>
      </c>
      <c r="H100" s="8" t="s">
        <v>44</v>
      </c>
      <c r="I100" s="8" t="s">
        <v>228</v>
      </c>
      <c r="J100" s="8" t="s">
        <v>458</v>
      </c>
      <c r="K100" s="8" t="s">
        <v>47</v>
      </c>
      <c r="L100" s="8" t="s">
        <v>48</v>
      </c>
      <c r="M100" s="8" t="s">
        <v>49</v>
      </c>
      <c r="N100" s="8" t="s">
        <v>48</v>
      </c>
      <c r="O100" s="8" t="s">
        <v>48</v>
      </c>
      <c r="P100" s="9" t="s">
        <v>459</v>
      </c>
      <c r="Q100" s="10"/>
      <c r="R100" s="10" t="s">
        <v>460</v>
      </c>
      <c r="S100" s="10">
        <v>4</v>
      </c>
      <c r="T100" s="10" t="s">
        <v>475</v>
      </c>
      <c r="U100" s="10" t="s">
        <v>476</v>
      </c>
      <c r="V100" s="11"/>
      <c r="W100" s="11"/>
      <c r="X100" s="11"/>
    </row>
    <row r="101" spans="1:24" ht="90" customHeight="1" x14ac:dyDescent="0.2">
      <c r="A101" s="8" t="s">
        <v>477</v>
      </c>
      <c r="B101" s="8" t="s">
        <v>444</v>
      </c>
      <c r="C101" s="8" t="s">
        <v>464</v>
      </c>
      <c r="D101" s="8">
        <v>11</v>
      </c>
      <c r="E101" s="8">
        <v>36</v>
      </c>
      <c r="F101" s="8" t="s">
        <v>83</v>
      </c>
      <c r="G101" s="8" t="s">
        <v>43</v>
      </c>
      <c r="H101" s="8" t="s">
        <v>44</v>
      </c>
      <c r="I101" s="8" t="s">
        <v>228</v>
      </c>
      <c r="J101" s="8" t="s">
        <v>465</v>
      </c>
      <c r="K101" s="8" t="s">
        <v>124</v>
      </c>
      <c r="L101" s="8" t="s">
        <v>48</v>
      </c>
      <c r="M101" s="8" t="s">
        <v>49</v>
      </c>
      <c r="N101" s="8" t="s">
        <v>48</v>
      </c>
      <c r="O101" s="8" t="s">
        <v>48</v>
      </c>
      <c r="P101" s="9" t="s">
        <v>176</v>
      </c>
      <c r="Q101" s="10"/>
      <c r="R101" s="10" t="s">
        <v>466</v>
      </c>
      <c r="S101" s="10">
        <v>4</v>
      </c>
      <c r="T101" s="10" t="s">
        <v>478</v>
      </c>
      <c r="U101" s="10" t="s">
        <v>479</v>
      </c>
      <c r="V101" s="11"/>
      <c r="W101" s="11"/>
      <c r="X101" s="11"/>
    </row>
    <row r="102" spans="1:24" ht="90" customHeight="1" x14ac:dyDescent="0.2">
      <c r="A102" s="8" t="s">
        <v>480</v>
      </c>
      <c r="B102" s="8" t="s">
        <v>481</v>
      </c>
      <c r="C102" s="8" t="s">
        <v>482</v>
      </c>
      <c r="D102" s="8">
        <v>11</v>
      </c>
      <c r="E102" s="8">
        <v>36</v>
      </c>
      <c r="F102" s="8" t="s">
        <v>42</v>
      </c>
      <c r="G102" s="8" t="s">
        <v>43</v>
      </c>
      <c r="H102" s="8" t="s">
        <v>44</v>
      </c>
      <c r="I102" s="8" t="s">
        <v>57</v>
      </c>
      <c r="J102" s="8" t="s">
        <v>483</v>
      </c>
      <c r="K102" s="8" t="s">
        <v>47</v>
      </c>
      <c r="L102" s="8" t="s">
        <v>90</v>
      </c>
      <c r="M102" s="8" t="s">
        <v>49</v>
      </c>
      <c r="N102" s="8" t="s">
        <v>484</v>
      </c>
      <c r="O102" s="8" t="s">
        <v>48</v>
      </c>
      <c r="P102" s="9" t="s">
        <v>101</v>
      </c>
      <c r="Q102" s="10"/>
      <c r="R102" s="10" t="s">
        <v>485</v>
      </c>
      <c r="S102" s="10"/>
      <c r="T102" s="10" t="s">
        <v>486</v>
      </c>
      <c r="U102" s="10" t="s">
        <v>487</v>
      </c>
      <c r="V102" s="11"/>
      <c r="W102" s="11"/>
      <c r="X102" s="11"/>
    </row>
    <row r="103" spans="1:24" ht="90" customHeight="1" x14ac:dyDescent="0.2">
      <c r="A103" s="8" t="s">
        <v>488</v>
      </c>
      <c r="B103" s="8" t="s">
        <v>481</v>
      </c>
      <c r="C103" s="8" t="s">
        <v>489</v>
      </c>
      <c r="D103" s="8">
        <v>12</v>
      </c>
      <c r="E103" s="8">
        <v>40</v>
      </c>
      <c r="F103" s="8" t="s">
        <v>56</v>
      </c>
      <c r="G103" s="8" t="s">
        <v>43</v>
      </c>
      <c r="H103" s="8" t="s">
        <v>44</v>
      </c>
      <c r="I103" s="8" t="s">
        <v>412</v>
      </c>
      <c r="J103" s="8" t="s">
        <v>187</v>
      </c>
      <c r="K103" s="8" t="s">
        <v>47</v>
      </c>
      <c r="L103" s="8" t="s">
        <v>48</v>
      </c>
      <c r="M103" s="8" t="s">
        <v>49</v>
      </c>
      <c r="N103" s="8" t="s">
        <v>48</v>
      </c>
      <c r="O103" s="8" t="s">
        <v>48</v>
      </c>
      <c r="P103" s="9" t="s">
        <v>176</v>
      </c>
      <c r="Q103" s="10"/>
      <c r="R103" s="10" t="s">
        <v>490</v>
      </c>
      <c r="S103" s="10"/>
      <c r="T103" s="10" t="s">
        <v>491</v>
      </c>
      <c r="U103" s="10" t="s">
        <v>184</v>
      </c>
      <c r="V103" s="11"/>
      <c r="W103" s="11"/>
      <c r="X103" s="11"/>
    </row>
    <row r="104" spans="1:24" ht="90" customHeight="1" x14ac:dyDescent="0.2">
      <c r="A104" s="8" t="s">
        <v>492</v>
      </c>
      <c r="B104" s="8" t="s">
        <v>481</v>
      </c>
      <c r="C104" s="8" t="s">
        <v>493</v>
      </c>
      <c r="D104" s="8">
        <v>13</v>
      </c>
      <c r="E104" s="8">
        <v>45</v>
      </c>
      <c r="F104" s="8" t="s">
        <v>62</v>
      </c>
      <c r="G104" s="8" t="s">
        <v>43</v>
      </c>
      <c r="H104" s="8" t="s">
        <v>44</v>
      </c>
      <c r="I104" s="8" t="s">
        <v>228</v>
      </c>
      <c r="J104" s="8" t="s">
        <v>281</v>
      </c>
      <c r="K104" s="8" t="s">
        <v>47</v>
      </c>
      <c r="L104" s="8" t="s">
        <v>90</v>
      </c>
      <c r="M104" s="8" t="s">
        <v>49</v>
      </c>
      <c r="N104" s="8" t="s">
        <v>48</v>
      </c>
      <c r="O104" s="8" t="s">
        <v>48</v>
      </c>
      <c r="P104" s="9" t="s">
        <v>50</v>
      </c>
      <c r="Q104" s="10"/>
      <c r="R104" s="10" t="s">
        <v>282</v>
      </c>
      <c r="S104" s="10">
        <v>1</v>
      </c>
      <c r="T104" s="10" t="s">
        <v>494</v>
      </c>
      <c r="U104" s="10" t="s">
        <v>284</v>
      </c>
      <c r="V104" s="11"/>
      <c r="W104" s="11"/>
      <c r="X104" s="11"/>
    </row>
    <row r="105" spans="1:24" ht="90" customHeight="1" x14ac:dyDescent="0.2">
      <c r="A105" s="8" t="s">
        <v>495</v>
      </c>
      <c r="B105" s="8" t="s">
        <v>481</v>
      </c>
      <c r="C105" s="8" t="s">
        <v>496</v>
      </c>
      <c r="D105" s="8">
        <v>10</v>
      </c>
      <c r="E105" s="8">
        <v>32</v>
      </c>
      <c r="F105" s="8" t="s">
        <v>67</v>
      </c>
      <c r="G105" s="8" t="s">
        <v>43</v>
      </c>
      <c r="H105" s="8" t="s">
        <v>44</v>
      </c>
      <c r="I105" s="8" t="s">
        <v>228</v>
      </c>
      <c r="J105" s="8" t="s">
        <v>202</v>
      </c>
      <c r="K105" s="8" t="s">
        <v>47</v>
      </c>
      <c r="L105" s="8" t="s">
        <v>48</v>
      </c>
      <c r="M105" s="8" t="s">
        <v>49</v>
      </c>
      <c r="N105" s="8" t="s">
        <v>48</v>
      </c>
      <c r="O105" s="8" t="s">
        <v>48</v>
      </c>
      <c r="P105" s="9" t="s">
        <v>176</v>
      </c>
      <c r="Q105" s="10"/>
      <c r="R105" s="10" t="s">
        <v>490</v>
      </c>
      <c r="S105" s="10"/>
      <c r="T105" s="10" t="s">
        <v>497</v>
      </c>
      <c r="U105" s="10" t="s">
        <v>194</v>
      </c>
      <c r="V105" s="11"/>
      <c r="W105" s="11"/>
      <c r="X105" s="11"/>
    </row>
    <row r="106" spans="1:24" ht="90" customHeight="1" x14ac:dyDescent="0.2">
      <c r="A106" s="8" t="s">
        <v>498</v>
      </c>
      <c r="B106" s="8" t="s">
        <v>499</v>
      </c>
      <c r="C106" s="8" t="s">
        <v>500</v>
      </c>
      <c r="D106" s="8">
        <v>14</v>
      </c>
      <c r="E106" s="8">
        <v>50</v>
      </c>
      <c r="F106" s="8" t="s">
        <v>42</v>
      </c>
      <c r="G106" s="8" t="s">
        <v>43</v>
      </c>
      <c r="H106" s="8" t="s">
        <v>44</v>
      </c>
      <c r="I106" s="8" t="s">
        <v>501</v>
      </c>
      <c r="J106" s="8" t="s">
        <v>46</v>
      </c>
      <c r="K106" s="8" t="s">
        <v>47</v>
      </c>
      <c r="L106" s="8" t="s">
        <v>48</v>
      </c>
      <c r="M106" s="8" t="s">
        <v>49</v>
      </c>
      <c r="N106" s="8" t="s">
        <v>502</v>
      </c>
      <c r="O106" s="8" t="s">
        <v>48</v>
      </c>
      <c r="P106" s="9" t="s">
        <v>50</v>
      </c>
      <c r="Q106" s="10"/>
      <c r="R106" s="10" t="s">
        <v>51</v>
      </c>
      <c r="S106" s="10">
        <v>4</v>
      </c>
      <c r="T106" s="10" t="s">
        <v>503</v>
      </c>
      <c r="U106" s="10" t="s">
        <v>53</v>
      </c>
      <c r="V106" s="11"/>
      <c r="W106" s="11"/>
      <c r="X106" s="11"/>
    </row>
    <row r="107" spans="1:24" ht="90" customHeight="1" x14ac:dyDescent="0.2">
      <c r="A107" s="8" t="s">
        <v>504</v>
      </c>
      <c r="B107" s="8" t="s">
        <v>499</v>
      </c>
      <c r="C107" s="8" t="s">
        <v>505</v>
      </c>
      <c r="D107" s="8">
        <v>12</v>
      </c>
      <c r="E107" s="8">
        <v>40</v>
      </c>
      <c r="F107" s="8" t="s">
        <v>79</v>
      </c>
      <c r="G107" s="8" t="s">
        <v>43</v>
      </c>
      <c r="H107" s="8" t="s">
        <v>44</v>
      </c>
      <c r="I107" s="8" t="s">
        <v>501</v>
      </c>
      <c r="J107" s="8" t="s">
        <v>46</v>
      </c>
      <c r="K107" s="8" t="s">
        <v>47</v>
      </c>
      <c r="L107" s="8" t="s">
        <v>48</v>
      </c>
      <c r="M107" s="8" t="s">
        <v>49</v>
      </c>
      <c r="N107" s="8" t="s">
        <v>506</v>
      </c>
      <c r="O107" s="8" t="s">
        <v>48</v>
      </c>
      <c r="P107" s="9" t="s">
        <v>50</v>
      </c>
      <c r="Q107" s="10"/>
      <c r="R107" s="10" t="s">
        <v>51</v>
      </c>
      <c r="S107" s="10">
        <v>4</v>
      </c>
      <c r="T107" s="10" t="s">
        <v>507</v>
      </c>
      <c r="U107" s="10" t="s">
        <v>81</v>
      </c>
      <c r="V107" s="11"/>
      <c r="W107" s="11"/>
      <c r="X107" s="11"/>
    </row>
    <row r="108" spans="1:24" ht="90" customHeight="1" x14ac:dyDescent="0.2">
      <c r="A108" s="8" t="s">
        <v>508</v>
      </c>
      <c r="B108" s="8" t="s">
        <v>499</v>
      </c>
      <c r="C108" s="8" t="s">
        <v>509</v>
      </c>
      <c r="D108" s="8">
        <v>13</v>
      </c>
      <c r="E108" s="8">
        <v>45</v>
      </c>
      <c r="F108" s="8" t="s">
        <v>62</v>
      </c>
      <c r="G108" s="8" t="s">
        <v>43</v>
      </c>
      <c r="H108" s="8" t="s">
        <v>44</v>
      </c>
      <c r="I108" s="8" t="s">
        <v>501</v>
      </c>
      <c r="J108" s="8" t="s">
        <v>46</v>
      </c>
      <c r="K108" s="8" t="s">
        <v>47</v>
      </c>
      <c r="L108" s="8" t="s">
        <v>48</v>
      </c>
      <c r="M108" s="8" t="s">
        <v>49</v>
      </c>
      <c r="N108" s="8" t="s">
        <v>510</v>
      </c>
      <c r="O108" s="8" t="s">
        <v>48</v>
      </c>
      <c r="P108" s="9" t="s">
        <v>50</v>
      </c>
      <c r="Q108" s="10"/>
      <c r="R108" s="10" t="s">
        <v>51</v>
      </c>
      <c r="S108" s="10">
        <v>4</v>
      </c>
      <c r="T108" s="10" t="s">
        <v>511</v>
      </c>
      <c r="U108" s="10" t="s">
        <v>65</v>
      </c>
      <c r="V108" s="11"/>
      <c r="W108" s="11"/>
      <c r="X108" s="11"/>
    </row>
    <row r="109" spans="1:24" ht="90" customHeight="1" x14ac:dyDescent="0.2">
      <c r="A109" s="8" t="s">
        <v>512</v>
      </c>
      <c r="B109" s="8" t="s">
        <v>499</v>
      </c>
      <c r="C109" s="8" t="s">
        <v>513</v>
      </c>
      <c r="D109" s="8">
        <v>13</v>
      </c>
      <c r="E109" s="8">
        <v>45</v>
      </c>
      <c r="F109" s="8" t="s">
        <v>234</v>
      </c>
      <c r="G109" s="8" t="s">
        <v>43</v>
      </c>
      <c r="H109" s="8" t="s">
        <v>44</v>
      </c>
      <c r="I109" s="8" t="s">
        <v>412</v>
      </c>
      <c r="J109" s="8" t="s">
        <v>175</v>
      </c>
      <c r="K109" s="8" t="s">
        <v>47</v>
      </c>
      <c r="L109" s="8" t="s">
        <v>48</v>
      </c>
      <c r="M109" s="8" t="s">
        <v>49</v>
      </c>
      <c r="N109" s="8" t="s">
        <v>514</v>
      </c>
      <c r="O109" s="8" t="s">
        <v>48</v>
      </c>
      <c r="P109" s="9" t="s">
        <v>176</v>
      </c>
      <c r="Q109" s="10" t="s">
        <v>515</v>
      </c>
      <c r="R109" s="10" t="s">
        <v>177</v>
      </c>
      <c r="S109" s="10"/>
      <c r="T109" s="10" t="s">
        <v>516</v>
      </c>
      <c r="U109" s="10" t="s">
        <v>517</v>
      </c>
      <c r="V109" s="11"/>
      <c r="W109" s="11"/>
      <c r="X109" s="11"/>
    </row>
    <row r="110" spans="1:24" ht="90" customHeight="1" x14ac:dyDescent="0.2">
      <c r="A110" s="8" t="s">
        <v>518</v>
      </c>
      <c r="B110" s="8" t="s">
        <v>499</v>
      </c>
      <c r="C110" s="8" t="s">
        <v>519</v>
      </c>
      <c r="D110" s="8">
        <v>12</v>
      </c>
      <c r="E110" s="8">
        <v>40</v>
      </c>
      <c r="F110" s="8" t="s">
        <v>83</v>
      </c>
      <c r="G110" s="8" t="s">
        <v>43</v>
      </c>
      <c r="H110" s="8" t="s">
        <v>44</v>
      </c>
      <c r="I110" s="8" t="s">
        <v>412</v>
      </c>
      <c r="J110" s="8" t="s">
        <v>182</v>
      </c>
      <c r="K110" s="8" t="s">
        <v>47</v>
      </c>
      <c r="L110" s="8" t="s">
        <v>48</v>
      </c>
      <c r="M110" s="8" t="s">
        <v>49</v>
      </c>
      <c r="N110" s="8" t="s">
        <v>520</v>
      </c>
      <c r="O110" s="8" t="s">
        <v>48</v>
      </c>
      <c r="P110" s="9" t="s">
        <v>176</v>
      </c>
      <c r="Q110" s="10" t="s">
        <v>521</v>
      </c>
      <c r="R110" s="10" t="s">
        <v>177</v>
      </c>
      <c r="S110" s="10"/>
      <c r="T110" s="10" t="s">
        <v>522</v>
      </c>
      <c r="U110" s="10" t="s">
        <v>523</v>
      </c>
      <c r="V110" s="11"/>
      <c r="W110" s="11"/>
      <c r="X110" s="11"/>
    </row>
    <row r="111" spans="1:24" ht="90" customHeight="1" x14ac:dyDescent="0.2">
      <c r="A111" s="8" t="s">
        <v>524</v>
      </c>
      <c r="B111" s="8" t="s">
        <v>525</v>
      </c>
      <c r="C111" s="8" t="s">
        <v>526</v>
      </c>
      <c r="D111" s="8">
        <v>11</v>
      </c>
      <c r="E111" s="8">
        <v>36</v>
      </c>
      <c r="F111" s="8" t="s">
        <v>56</v>
      </c>
      <c r="G111" s="8" t="s">
        <v>43</v>
      </c>
      <c r="H111" s="8" t="s">
        <v>44</v>
      </c>
      <c r="I111" s="8" t="s">
        <v>527</v>
      </c>
      <c r="J111" s="8" t="s">
        <v>46</v>
      </c>
      <c r="K111" s="8" t="s">
        <v>47</v>
      </c>
      <c r="L111" s="8" t="s">
        <v>48</v>
      </c>
      <c r="M111" s="8" t="s">
        <v>49</v>
      </c>
      <c r="N111" s="8" t="s">
        <v>48</v>
      </c>
      <c r="O111" s="8" t="s">
        <v>48</v>
      </c>
      <c r="P111" s="9" t="s">
        <v>91</v>
      </c>
      <c r="Q111" s="10"/>
      <c r="R111" s="10" t="s">
        <v>92</v>
      </c>
      <c r="S111" s="10"/>
      <c r="T111" s="10" t="s">
        <v>528</v>
      </c>
      <c r="U111" s="10" t="s">
        <v>99</v>
      </c>
      <c r="V111" s="11"/>
      <c r="W111" s="11"/>
      <c r="X111" s="11"/>
    </row>
    <row r="112" spans="1:24" ht="90" customHeight="1" x14ac:dyDescent="0.2">
      <c r="A112" s="8" t="s">
        <v>529</v>
      </c>
      <c r="B112" s="8" t="s">
        <v>525</v>
      </c>
      <c r="C112" s="8" t="s">
        <v>530</v>
      </c>
      <c r="D112" s="8">
        <v>9</v>
      </c>
      <c r="E112" s="8">
        <v>29</v>
      </c>
      <c r="F112" s="8" t="s">
        <v>67</v>
      </c>
      <c r="G112" s="8" t="s">
        <v>43</v>
      </c>
      <c r="H112" s="8" t="s">
        <v>44</v>
      </c>
      <c r="I112" s="8" t="s">
        <v>369</v>
      </c>
      <c r="J112" s="8" t="s">
        <v>46</v>
      </c>
      <c r="K112" s="8" t="s">
        <v>47</v>
      </c>
      <c r="L112" s="8" t="s">
        <v>48</v>
      </c>
      <c r="M112" s="8" t="s">
        <v>49</v>
      </c>
      <c r="N112" s="8" t="s">
        <v>48</v>
      </c>
      <c r="O112" s="8" t="s">
        <v>48</v>
      </c>
      <c r="P112" s="9" t="s">
        <v>91</v>
      </c>
      <c r="Q112" s="10"/>
      <c r="R112" s="10" t="s">
        <v>352</v>
      </c>
      <c r="S112" s="10"/>
      <c r="T112" s="10" t="s">
        <v>531</v>
      </c>
      <c r="U112" s="10"/>
      <c r="V112" s="11"/>
      <c r="W112" s="11"/>
      <c r="X112" s="11"/>
    </row>
    <row r="113" spans="1:24" ht="90" customHeight="1" x14ac:dyDescent="0.2">
      <c r="A113" s="8" t="s">
        <v>532</v>
      </c>
      <c r="B113" s="8" t="s">
        <v>525</v>
      </c>
      <c r="C113" s="8" t="s">
        <v>533</v>
      </c>
      <c r="D113" s="8">
        <v>8</v>
      </c>
      <c r="E113" s="8">
        <v>26</v>
      </c>
      <c r="F113" s="8" t="s">
        <v>395</v>
      </c>
      <c r="G113" s="8" t="s">
        <v>43</v>
      </c>
      <c r="H113" s="8" t="s">
        <v>44</v>
      </c>
      <c r="I113" s="8" t="s">
        <v>534</v>
      </c>
      <c r="J113" s="8" t="s">
        <v>46</v>
      </c>
      <c r="K113" s="8" t="s">
        <v>47</v>
      </c>
      <c r="L113" s="8" t="s">
        <v>48</v>
      </c>
      <c r="M113" s="8" t="s">
        <v>49</v>
      </c>
      <c r="N113" s="8" t="s">
        <v>48</v>
      </c>
      <c r="O113" s="8" t="s">
        <v>48</v>
      </c>
      <c r="P113" s="9" t="s">
        <v>50</v>
      </c>
      <c r="Q113" s="10"/>
      <c r="R113" s="10" t="s">
        <v>51</v>
      </c>
      <c r="S113" s="10">
        <v>4</v>
      </c>
      <c r="T113" s="10" t="s">
        <v>535</v>
      </c>
      <c r="U113" s="10" t="s">
        <v>536</v>
      </c>
      <c r="V113" s="11"/>
      <c r="W113" s="11"/>
      <c r="X113" s="11"/>
    </row>
    <row r="114" spans="1:24" ht="90" customHeight="1" x14ac:dyDescent="0.2">
      <c r="A114" s="8" t="s">
        <v>537</v>
      </c>
      <c r="B114" s="8" t="s">
        <v>525</v>
      </c>
      <c r="C114" s="8" t="s">
        <v>538</v>
      </c>
      <c r="D114" s="8">
        <v>13</v>
      </c>
      <c r="E114" s="8">
        <v>45</v>
      </c>
      <c r="F114" s="8" t="s">
        <v>42</v>
      </c>
      <c r="G114" s="8" t="s">
        <v>43</v>
      </c>
      <c r="H114" s="8" t="s">
        <v>44</v>
      </c>
      <c r="I114" s="8" t="s">
        <v>539</v>
      </c>
      <c r="J114" s="8" t="s">
        <v>46</v>
      </c>
      <c r="K114" s="8" t="s">
        <v>47</v>
      </c>
      <c r="L114" s="8" t="s">
        <v>48</v>
      </c>
      <c r="M114" s="8" t="s">
        <v>49</v>
      </c>
      <c r="N114" s="8" t="s">
        <v>48</v>
      </c>
      <c r="O114" s="8" t="s">
        <v>48</v>
      </c>
      <c r="P114" s="9" t="s">
        <v>91</v>
      </c>
      <c r="Q114" s="10"/>
      <c r="R114" s="10" t="s">
        <v>92</v>
      </c>
      <c r="S114" s="10"/>
      <c r="T114" s="10" t="s">
        <v>540</v>
      </c>
      <c r="U114" s="10" t="s">
        <v>94</v>
      </c>
      <c r="V114" s="11"/>
      <c r="W114" s="11"/>
      <c r="X114" s="11"/>
    </row>
    <row r="115" spans="1:24" ht="90" customHeight="1" x14ac:dyDescent="0.2">
      <c r="A115" s="8" t="s">
        <v>541</v>
      </c>
      <c r="B115" s="8" t="s">
        <v>525</v>
      </c>
      <c r="C115" s="8" t="s">
        <v>542</v>
      </c>
      <c r="D115" s="8">
        <v>15</v>
      </c>
      <c r="E115" s="8">
        <v>55</v>
      </c>
      <c r="F115" s="8" t="s">
        <v>62</v>
      </c>
      <c r="G115" s="8" t="s">
        <v>43</v>
      </c>
      <c r="H115" s="8" t="s">
        <v>44</v>
      </c>
      <c r="I115" s="8" t="s">
        <v>543</v>
      </c>
      <c r="J115" s="8" t="s">
        <v>46</v>
      </c>
      <c r="K115" s="8" t="s">
        <v>47</v>
      </c>
      <c r="L115" s="8" t="s">
        <v>48</v>
      </c>
      <c r="M115" s="8" t="s">
        <v>49</v>
      </c>
      <c r="N115" s="8" t="s">
        <v>48</v>
      </c>
      <c r="O115" s="8" t="s">
        <v>48</v>
      </c>
      <c r="P115" s="9" t="s">
        <v>50</v>
      </c>
      <c r="Q115" s="10"/>
      <c r="R115" s="10" t="s">
        <v>544</v>
      </c>
      <c r="S115" s="10">
        <v>4</v>
      </c>
      <c r="T115" s="10" t="s">
        <v>545</v>
      </c>
      <c r="U115" s="10" t="s">
        <v>65</v>
      </c>
      <c r="V115" s="11"/>
      <c r="W115" s="11"/>
      <c r="X115" s="11"/>
    </row>
    <row r="116" spans="1:24" ht="90" customHeight="1" x14ac:dyDescent="0.2">
      <c r="A116" s="8" t="s">
        <v>546</v>
      </c>
      <c r="B116" s="8" t="s">
        <v>525</v>
      </c>
      <c r="C116" s="8" t="s">
        <v>547</v>
      </c>
      <c r="D116" s="8">
        <v>6</v>
      </c>
      <c r="E116" s="8">
        <v>20</v>
      </c>
      <c r="F116" s="8" t="s">
        <v>75</v>
      </c>
      <c r="G116" s="8" t="s">
        <v>43</v>
      </c>
      <c r="H116" s="8" t="s">
        <v>44</v>
      </c>
      <c r="I116" s="8" t="s">
        <v>548</v>
      </c>
      <c r="J116" s="8" t="s">
        <v>46</v>
      </c>
      <c r="K116" s="8" t="s">
        <v>47</v>
      </c>
      <c r="L116" s="8" t="s">
        <v>48</v>
      </c>
      <c r="M116" s="8" t="s">
        <v>49</v>
      </c>
      <c r="N116" s="8" t="s">
        <v>48</v>
      </c>
      <c r="O116" s="8" t="s">
        <v>48</v>
      </c>
      <c r="P116" s="9" t="s">
        <v>176</v>
      </c>
      <c r="Q116" s="10"/>
      <c r="R116" s="10" t="s">
        <v>549</v>
      </c>
      <c r="S116" s="10"/>
      <c r="T116" s="10" t="s">
        <v>550</v>
      </c>
      <c r="U116" s="10" t="s">
        <v>204</v>
      </c>
      <c r="V116" s="11"/>
      <c r="W116" s="11"/>
      <c r="X116" s="11"/>
    </row>
    <row r="117" spans="1:24" ht="90" customHeight="1" x14ac:dyDescent="0.2">
      <c r="A117" s="8" t="s">
        <v>551</v>
      </c>
      <c r="B117" s="8" t="s">
        <v>552</v>
      </c>
      <c r="C117" s="8" t="s">
        <v>553</v>
      </c>
      <c r="D117" s="8">
        <v>10</v>
      </c>
      <c r="E117" s="8">
        <v>32</v>
      </c>
      <c r="F117" s="8" t="s">
        <v>62</v>
      </c>
      <c r="G117" s="8" t="s">
        <v>43</v>
      </c>
      <c r="H117" s="8" t="s">
        <v>44</v>
      </c>
      <c r="I117" s="8" t="s">
        <v>228</v>
      </c>
      <c r="J117" s="8" t="s">
        <v>334</v>
      </c>
      <c r="K117" s="8" t="s">
        <v>47</v>
      </c>
      <c r="L117" s="8" t="s">
        <v>48</v>
      </c>
      <c r="M117" s="8" t="s">
        <v>49</v>
      </c>
      <c r="N117" s="8" t="s">
        <v>48</v>
      </c>
      <c r="O117" s="12" t="s">
        <v>554</v>
      </c>
      <c r="P117" s="9" t="s">
        <v>176</v>
      </c>
      <c r="Q117" s="10"/>
      <c r="R117" s="10" t="s">
        <v>336</v>
      </c>
      <c r="S117" s="10"/>
      <c r="T117" s="10" t="s">
        <v>555</v>
      </c>
      <c r="U117" s="10" t="s">
        <v>189</v>
      </c>
      <c r="V117" s="11"/>
      <c r="W117" s="11"/>
      <c r="X117" s="11"/>
    </row>
    <row r="118" spans="1:24" ht="90" customHeight="1" x14ac:dyDescent="0.2">
      <c r="A118" s="8" t="s">
        <v>556</v>
      </c>
      <c r="B118" s="8" t="s">
        <v>552</v>
      </c>
      <c r="C118" s="8" t="s">
        <v>557</v>
      </c>
      <c r="D118" s="8">
        <v>9</v>
      </c>
      <c r="E118" s="8">
        <v>29</v>
      </c>
      <c r="F118" s="8" t="s">
        <v>62</v>
      </c>
      <c r="G118" s="8" t="s">
        <v>43</v>
      </c>
      <c r="H118" s="8" t="s">
        <v>44</v>
      </c>
      <c r="I118" s="8" t="s">
        <v>228</v>
      </c>
      <c r="J118" s="8" t="s">
        <v>334</v>
      </c>
      <c r="K118" s="8" t="s">
        <v>47</v>
      </c>
      <c r="L118" s="8" t="s">
        <v>48</v>
      </c>
      <c r="M118" s="8" t="s">
        <v>49</v>
      </c>
      <c r="N118" s="8" t="s">
        <v>48</v>
      </c>
      <c r="O118" s="12" t="s">
        <v>335</v>
      </c>
      <c r="P118" s="9" t="s">
        <v>176</v>
      </c>
      <c r="Q118" s="10"/>
      <c r="R118" s="10" t="s">
        <v>336</v>
      </c>
      <c r="S118" s="10"/>
      <c r="T118" s="10" t="s">
        <v>558</v>
      </c>
      <c r="U118" s="10" t="s">
        <v>189</v>
      </c>
      <c r="V118" s="11"/>
      <c r="W118" s="11"/>
      <c r="X118" s="11"/>
    </row>
    <row r="119" spans="1:24" ht="90" customHeight="1" x14ac:dyDescent="0.2">
      <c r="A119" s="8" t="s">
        <v>559</v>
      </c>
      <c r="B119" s="8" t="s">
        <v>552</v>
      </c>
      <c r="C119" s="8" t="s">
        <v>560</v>
      </c>
      <c r="D119" s="8">
        <v>11</v>
      </c>
      <c r="E119" s="8">
        <v>36</v>
      </c>
      <c r="F119" s="8" t="s">
        <v>62</v>
      </c>
      <c r="G119" s="8" t="s">
        <v>43</v>
      </c>
      <c r="H119" s="8" t="s">
        <v>561</v>
      </c>
      <c r="I119" s="8" t="s">
        <v>228</v>
      </c>
      <c r="J119" s="8" t="s">
        <v>334</v>
      </c>
      <c r="K119" s="8" t="s">
        <v>47</v>
      </c>
      <c r="L119" s="8" t="s">
        <v>48</v>
      </c>
      <c r="M119" s="8" t="s">
        <v>49</v>
      </c>
      <c r="N119" s="8" t="s">
        <v>48</v>
      </c>
      <c r="O119" s="12" t="s">
        <v>335</v>
      </c>
      <c r="P119" s="9" t="s">
        <v>176</v>
      </c>
      <c r="Q119" s="10"/>
      <c r="R119" s="10" t="s">
        <v>336</v>
      </c>
      <c r="S119" s="10"/>
      <c r="T119" s="10" t="s">
        <v>562</v>
      </c>
      <c r="U119" s="10" t="s">
        <v>189</v>
      </c>
      <c r="V119" s="11"/>
      <c r="W119" s="11"/>
      <c r="X119" s="11"/>
    </row>
    <row r="120" spans="1:24" ht="90" customHeight="1" x14ac:dyDescent="0.2">
      <c r="A120" s="8" t="s">
        <v>563</v>
      </c>
      <c r="B120" s="8" t="s">
        <v>552</v>
      </c>
      <c r="C120" s="8" t="s">
        <v>564</v>
      </c>
      <c r="D120" s="8">
        <v>8</v>
      </c>
      <c r="E120" s="8">
        <v>26</v>
      </c>
      <c r="F120" s="8" t="s">
        <v>234</v>
      </c>
      <c r="G120" s="8" t="s">
        <v>43</v>
      </c>
      <c r="H120" s="8" t="s">
        <v>44</v>
      </c>
      <c r="I120" s="8" t="s">
        <v>228</v>
      </c>
      <c r="J120" s="8" t="s">
        <v>334</v>
      </c>
      <c r="K120" s="8" t="s">
        <v>47</v>
      </c>
      <c r="L120" s="8" t="s">
        <v>48</v>
      </c>
      <c r="M120" s="8" t="s">
        <v>49</v>
      </c>
      <c r="N120" s="8" t="s">
        <v>48</v>
      </c>
      <c r="O120" s="12" t="s">
        <v>335</v>
      </c>
      <c r="P120" s="9" t="s">
        <v>176</v>
      </c>
      <c r="Q120" s="10"/>
      <c r="R120" s="10" t="s">
        <v>336</v>
      </c>
      <c r="S120" s="10"/>
      <c r="T120" s="10" t="s">
        <v>565</v>
      </c>
      <c r="U120" s="10" t="s">
        <v>566</v>
      </c>
      <c r="V120" s="11"/>
      <c r="W120" s="11"/>
      <c r="X120" s="11"/>
    </row>
    <row r="121" spans="1:24" ht="90" customHeight="1" x14ac:dyDescent="0.2">
      <c r="A121" s="8" t="s">
        <v>567</v>
      </c>
      <c r="B121" s="8" t="s">
        <v>552</v>
      </c>
      <c r="C121" s="8" t="s">
        <v>568</v>
      </c>
      <c r="D121" s="8">
        <v>12</v>
      </c>
      <c r="E121" s="8">
        <v>40</v>
      </c>
      <c r="F121" s="8" t="s">
        <v>62</v>
      </c>
      <c r="G121" s="8" t="s">
        <v>43</v>
      </c>
      <c r="H121" s="8" t="s">
        <v>44</v>
      </c>
      <c r="I121" s="8" t="s">
        <v>228</v>
      </c>
      <c r="J121" s="8" t="s">
        <v>334</v>
      </c>
      <c r="K121" s="8" t="s">
        <v>47</v>
      </c>
      <c r="L121" s="8" t="s">
        <v>48</v>
      </c>
      <c r="M121" s="8" t="s">
        <v>49</v>
      </c>
      <c r="N121" s="8" t="s">
        <v>48</v>
      </c>
      <c r="O121" s="12" t="s">
        <v>335</v>
      </c>
      <c r="P121" s="9" t="s">
        <v>176</v>
      </c>
      <c r="Q121" s="10"/>
      <c r="R121" s="10" t="s">
        <v>336</v>
      </c>
      <c r="S121" s="10"/>
      <c r="T121" s="10" t="s">
        <v>569</v>
      </c>
      <c r="U121" s="10" t="s">
        <v>189</v>
      </c>
      <c r="V121" s="11"/>
      <c r="W121" s="11"/>
      <c r="X121" s="11"/>
    </row>
    <row r="122" spans="1:24" ht="90" customHeight="1" x14ac:dyDescent="0.2">
      <c r="A122" s="8" t="s">
        <v>570</v>
      </c>
      <c r="B122" s="8" t="s">
        <v>552</v>
      </c>
      <c r="C122" s="8" t="s">
        <v>571</v>
      </c>
      <c r="D122" s="8">
        <v>14</v>
      </c>
      <c r="E122" s="8">
        <v>50</v>
      </c>
      <c r="F122" s="8" t="s">
        <v>62</v>
      </c>
      <c r="G122" s="8" t="s">
        <v>43</v>
      </c>
      <c r="H122" s="8" t="s">
        <v>44</v>
      </c>
      <c r="I122" s="8" t="s">
        <v>228</v>
      </c>
      <c r="J122" s="8" t="s">
        <v>334</v>
      </c>
      <c r="K122" s="8" t="s">
        <v>47</v>
      </c>
      <c r="L122" s="8" t="s">
        <v>48</v>
      </c>
      <c r="M122" s="8" t="s">
        <v>49</v>
      </c>
      <c r="N122" s="8" t="s">
        <v>48</v>
      </c>
      <c r="O122" s="12" t="s">
        <v>335</v>
      </c>
      <c r="P122" s="9" t="s">
        <v>176</v>
      </c>
      <c r="Q122" s="10"/>
      <c r="R122" s="10" t="s">
        <v>336</v>
      </c>
      <c r="S122" s="10"/>
      <c r="T122" s="10" t="s">
        <v>572</v>
      </c>
      <c r="U122" s="10" t="s">
        <v>189</v>
      </c>
      <c r="V122" s="11"/>
      <c r="W122" s="11"/>
      <c r="X122" s="11"/>
    </row>
    <row r="123" spans="1:24" ht="90" customHeight="1" x14ac:dyDescent="0.2">
      <c r="A123" s="8" t="s">
        <v>573</v>
      </c>
      <c r="B123" s="8" t="s">
        <v>574</v>
      </c>
      <c r="C123" s="8" t="s">
        <v>575</v>
      </c>
      <c r="D123" s="8">
        <v>10</v>
      </c>
      <c r="E123" s="8">
        <v>32</v>
      </c>
      <c r="F123" s="8" t="s">
        <v>42</v>
      </c>
      <c r="G123" s="8" t="s">
        <v>43</v>
      </c>
      <c r="H123" s="8" t="s">
        <v>44</v>
      </c>
      <c r="I123" s="8" t="s">
        <v>228</v>
      </c>
      <c r="J123" s="8" t="s">
        <v>46</v>
      </c>
      <c r="K123" s="8" t="s">
        <v>47</v>
      </c>
      <c r="L123" s="8" t="s">
        <v>48</v>
      </c>
      <c r="M123" s="8" t="s">
        <v>49</v>
      </c>
      <c r="N123" s="8" t="s">
        <v>48</v>
      </c>
      <c r="O123" s="12" t="s">
        <v>576</v>
      </c>
      <c r="P123" s="9" t="s">
        <v>125</v>
      </c>
      <c r="Q123" s="10"/>
      <c r="R123" s="10" t="s">
        <v>577</v>
      </c>
      <c r="S123" s="10"/>
      <c r="T123" s="10" t="s">
        <v>578</v>
      </c>
      <c r="U123" s="10"/>
      <c r="V123" s="11"/>
      <c r="W123" s="11"/>
      <c r="X123" s="11"/>
    </row>
    <row r="124" spans="1:24" ht="90" customHeight="1" x14ac:dyDescent="0.2">
      <c r="A124" s="8" t="s">
        <v>579</v>
      </c>
      <c r="B124" s="8" t="s">
        <v>574</v>
      </c>
      <c r="C124" s="8" t="s">
        <v>580</v>
      </c>
      <c r="D124" s="8">
        <v>12</v>
      </c>
      <c r="E124" s="8">
        <v>40</v>
      </c>
      <c r="F124" s="8" t="s">
        <v>67</v>
      </c>
      <c r="G124" s="8" t="s">
        <v>43</v>
      </c>
      <c r="H124" s="8" t="s">
        <v>44</v>
      </c>
      <c r="I124" s="8" t="s">
        <v>228</v>
      </c>
      <c r="J124" s="8" t="s">
        <v>46</v>
      </c>
      <c r="K124" s="8" t="s">
        <v>47</v>
      </c>
      <c r="L124" s="8" t="s">
        <v>48</v>
      </c>
      <c r="M124" s="8" t="s">
        <v>49</v>
      </c>
      <c r="N124" s="8" t="s">
        <v>48</v>
      </c>
      <c r="O124" s="12" t="s">
        <v>581</v>
      </c>
      <c r="P124" s="9" t="s">
        <v>125</v>
      </c>
      <c r="Q124" s="10"/>
      <c r="R124" s="10" t="s">
        <v>577</v>
      </c>
      <c r="S124" s="10"/>
      <c r="T124" s="10" t="s">
        <v>582</v>
      </c>
      <c r="U124" s="10"/>
      <c r="V124" s="11"/>
      <c r="W124" s="11"/>
      <c r="X124" s="11"/>
    </row>
    <row r="125" spans="1:24" ht="90" customHeight="1" x14ac:dyDescent="0.2">
      <c r="A125" s="8" t="s">
        <v>583</v>
      </c>
      <c r="B125" s="8" t="s">
        <v>574</v>
      </c>
      <c r="C125" s="8" t="s">
        <v>584</v>
      </c>
      <c r="D125" s="8">
        <v>13</v>
      </c>
      <c r="E125" s="8">
        <v>45</v>
      </c>
      <c r="F125" s="8" t="s">
        <v>56</v>
      </c>
      <c r="G125" s="8" t="s">
        <v>43</v>
      </c>
      <c r="H125" s="8" t="s">
        <v>44</v>
      </c>
      <c r="I125" s="8" t="s">
        <v>123</v>
      </c>
      <c r="J125" s="8" t="s">
        <v>142</v>
      </c>
      <c r="K125" s="8" t="s">
        <v>124</v>
      </c>
      <c r="L125" s="8" t="s">
        <v>48</v>
      </c>
      <c r="M125" s="8" t="s">
        <v>49</v>
      </c>
      <c r="N125" s="8" t="s">
        <v>48</v>
      </c>
      <c r="O125" s="8" t="s">
        <v>48</v>
      </c>
      <c r="P125" s="9" t="s">
        <v>125</v>
      </c>
      <c r="Q125" s="10"/>
      <c r="R125" s="10" t="s">
        <v>585</v>
      </c>
      <c r="S125" s="10">
        <v>1</v>
      </c>
      <c r="T125" s="10" t="s">
        <v>586</v>
      </c>
      <c r="U125" s="10" t="s">
        <v>587</v>
      </c>
      <c r="V125" s="11"/>
      <c r="W125" s="11"/>
      <c r="X125" s="11"/>
    </row>
    <row r="126" spans="1:24" ht="90" customHeight="1" x14ac:dyDescent="0.2">
      <c r="A126" s="8" t="s">
        <v>588</v>
      </c>
      <c r="B126" s="8" t="s">
        <v>574</v>
      </c>
      <c r="C126" s="8" t="s">
        <v>589</v>
      </c>
      <c r="D126" s="8">
        <v>11</v>
      </c>
      <c r="E126" s="8">
        <v>36</v>
      </c>
      <c r="F126" s="8" t="s">
        <v>62</v>
      </c>
      <c r="G126" s="8" t="s">
        <v>43</v>
      </c>
      <c r="H126" s="8" t="s">
        <v>44</v>
      </c>
      <c r="I126" s="8" t="s">
        <v>385</v>
      </c>
      <c r="J126" s="8" t="s">
        <v>281</v>
      </c>
      <c r="K126" s="8" t="s">
        <v>124</v>
      </c>
      <c r="L126" s="8" t="s">
        <v>48</v>
      </c>
      <c r="M126" s="8" t="s">
        <v>49</v>
      </c>
      <c r="N126" s="8" t="s">
        <v>48</v>
      </c>
      <c r="O126" s="8" t="s">
        <v>48</v>
      </c>
      <c r="P126" s="9" t="s">
        <v>125</v>
      </c>
      <c r="Q126" s="10"/>
      <c r="R126" s="10" t="s">
        <v>585</v>
      </c>
      <c r="S126" s="10">
        <v>1</v>
      </c>
      <c r="T126" s="10" t="s">
        <v>590</v>
      </c>
      <c r="U126" s="10" t="s">
        <v>587</v>
      </c>
      <c r="V126" s="11"/>
      <c r="W126" s="11"/>
      <c r="X126" s="11"/>
    </row>
    <row r="127" spans="1:24" ht="90" customHeight="1" x14ac:dyDescent="0.2">
      <c r="A127" s="8" t="s">
        <v>591</v>
      </c>
      <c r="B127" s="8" t="s">
        <v>574</v>
      </c>
      <c r="C127" s="8" t="s">
        <v>592</v>
      </c>
      <c r="D127" s="8">
        <v>12</v>
      </c>
      <c r="E127" s="8">
        <v>40</v>
      </c>
      <c r="F127" s="8" t="s">
        <v>79</v>
      </c>
      <c r="G127" s="8" t="s">
        <v>43</v>
      </c>
      <c r="H127" s="8" t="s">
        <v>44</v>
      </c>
      <c r="I127" s="8" t="s">
        <v>123</v>
      </c>
      <c r="J127" s="8" t="s">
        <v>164</v>
      </c>
      <c r="K127" s="8" t="s">
        <v>47</v>
      </c>
      <c r="L127" s="8" t="s">
        <v>48</v>
      </c>
      <c r="M127" s="8" t="s">
        <v>49</v>
      </c>
      <c r="N127" s="8" t="s">
        <v>48</v>
      </c>
      <c r="O127" s="8" t="s">
        <v>48</v>
      </c>
      <c r="P127" s="9" t="s">
        <v>125</v>
      </c>
      <c r="Q127" s="10"/>
      <c r="R127" s="10" t="s">
        <v>593</v>
      </c>
      <c r="S127" s="10"/>
      <c r="T127" s="10" t="s">
        <v>594</v>
      </c>
      <c r="U127" s="10" t="s">
        <v>128</v>
      </c>
      <c r="V127" s="11"/>
      <c r="W127" s="11"/>
      <c r="X127" s="11"/>
    </row>
    <row r="128" spans="1:24" ht="90" customHeight="1" x14ac:dyDescent="0.2">
      <c r="A128" s="8" t="s">
        <v>595</v>
      </c>
      <c r="B128" s="8" t="s">
        <v>574</v>
      </c>
      <c r="C128" s="8" t="s">
        <v>596</v>
      </c>
      <c r="D128" s="8">
        <v>13</v>
      </c>
      <c r="E128" s="8">
        <v>45</v>
      </c>
      <c r="F128" s="8" t="s">
        <v>234</v>
      </c>
      <c r="G128" s="8" t="s">
        <v>43</v>
      </c>
      <c r="H128" s="8" t="s">
        <v>44</v>
      </c>
      <c r="I128" s="8" t="s">
        <v>250</v>
      </c>
      <c r="J128" s="8" t="s">
        <v>597</v>
      </c>
      <c r="K128" s="8" t="s">
        <v>47</v>
      </c>
      <c r="L128" s="8" t="s">
        <v>48</v>
      </c>
      <c r="M128" s="8" t="s">
        <v>49</v>
      </c>
      <c r="N128" s="8" t="s">
        <v>48</v>
      </c>
      <c r="O128" s="8" t="s">
        <v>48</v>
      </c>
      <c r="P128" s="9" t="s">
        <v>125</v>
      </c>
      <c r="Q128" s="10"/>
      <c r="R128" s="10" t="s">
        <v>593</v>
      </c>
      <c r="S128" s="10"/>
      <c r="T128" s="10" t="s">
        <v>598</v>
      </c>
      <c r="U128" s="10" t="s">
        <v>128</v>
      </c>
      <c r="V128" s="11"/>
      <c r="W128" s="11"/>
      <c r="X128" s="11"/>
    </row>
    <row r="129" spans="1:24" ht="90" customHeight="1" x14ac:dyDescent="0.2">
      <c r="A129" s="8" t="s">
        <v>599</v>
      </c>
      <c r="B129" s="8" t="s">
        <v>574</v>
      </c>
      <c r="C129" s="8" t="s">
        <v>600</v>
      </c>
      <c r="D129" s="8">
        <v>10</v>
      </c>
      <c r="E129" s="8">
        <v>32</v>
      </c>
      <c r="F129" s="8" t="s">
        <v>62</v>
      </c>
      <c r="G129" s="8" t="s">
        <v>43</v>
      </c>
      <c r="H129" s="8" t="s">
        <v>561</v>
      </c>
      <c r="I129" s="8" t="s">
        <v>228</v>
      </c>
      <c r="J129" s="8" t="s">
        <v>46</v>
      </c>
      <c r="K129" s="8" t="s">
        <v>47</v>
      </c>
      <c r="L129" s="8" t="s">
        <v>48</v>
      </c>
      <c r="M129" s="8" t="s">
        <v>49</v>
      </c>
      <c r="N129" s="8" t="s">
        <v>48</v>
      </c>
      <c r="O129" s="8" t="s">
        <v>48</v>
      </c>
      <c r="P129" s="9" t="s">
        <v>50</v>
      </c>
      <c r="Q129" s="10"/>
      <c r="R129" s="10" t="s">
        <v>259</v>
      </c>
      <c r="S129" s="10">
        <v>4</v>
      </c>
      <c r="T129" s="10" t="s">
        <v>601</v>
      </c>
      <c r="U129" s="10" t="s">
        <v>65</v>
      </c>
      <c r="V129" s="11"/>
      <c r="W129" s="11"/>
      <c r="X129" s="11"/>
    </row>
    <row r="130" spans="1:24" ht="90" customHeight="1" x14ac:dyDescent="0.2">
      <c r="A130" s="8" t="s">
        <v>602</v>
      </c>
      <c r="B130" s="8" t="s">
        <v>574</v>
      </c>
      <c r="C130" s="8" t="s">
        <v>603</v>
      </c>
      <c r="D130" s="8">
        <v>12</v>
      </c>
      <c r="E130" s="8">
        <v>40</v>
      </c>
      <c r="F130" s="8" t="s">
        <v>234</v>
      </c>
      <c r="G130" s="8" t="s">
        <v>43</v>
      </c>
      <c r="H130" s="8" t="s">
        <v>44</v>
      </c>
      <c r="I130" s="8" t="s">
        <v>356</v>
      </c>
      <c r="J130" s="8" t="s">
        <v>46</v>
      </c>
      <c r="K130" s="8" t="s">
        <v>47</v>
      </c>
      <c r="L130" s="8" t="s">
        <v>604</v>
      </c>
      <c r="M130" s="8" t="s">
        <v>49</v>
      </c>
      <c r="N130" s="8" t="s">
        <v>48</v>
      </c>
      <c r="O130" s="12" t="s">
        <v>351</v>
      </c>
      <c r="P130" s="9" t="s">
        <v>176</v>
      </c>
      <c r="Q130" s="10"/>
      <c r="R130" s="10" t="s">
        <v>605</v>
      </c>
      <c r="S130" s="10"/>
      <c r="T130" s="10" t="s">
        <v>606</v>
      </c>
      <c r="U130" s="10"/>
      <c r="V130" s="11"/>
      <c r="W130" s="11"/>
      <c r="X130" s="11"/>
    </row>
    <row r="131" spans="1:24" ht="90" customHeight="1" x14ac:dyDescent="0.2">
      <c r="A131" s="8" t="s">
        <v>607</v>
      </c>
      <c r="B131" s="8" t="s">
        <v>574</v>
      </c>
      <c r="C131" s="8" t="s">
        <v>608</v>
      </c>
      <c r="D131" s="8">
        <v>13</v>
      </c>
      <c r="E131" s="8">
        <v>45</v>
      </c>
      <c r="F131" s="8" t="s">
        <v>79</v>
      </c>
      <c r="G131" s="8" t="s">
        <v>43</v>
      </c>
      <c r="H131" s="8" t="s">
        <v>44</v>
      </c>
      <c r="I131" s="8" t="s">
        <v>356</v>
      </c>
      <c r="J131" s="8" t="s">
        <v>46</v>
      </c>
      <c r="K131" s="8" t="s">
        <v>47</v>
      </c>
      <c r="L131" s="8" t="s">
        <v>609</v>
      </c>
      <c r="M131" s="8" t="s">
        <v>49</v>
      </c>
      <c r="N131" s="8" t="s">
        <v>48</v>
      </c>
      <c r="O131" s="12" t="s">
        <v>357</v>
      </c>
      <c r="P131" s="9" t="s">
        <v>176</v>
      </c>
      <c r="Q131" s="10"/>
      <c r="R131" s="10" t="s">
        <v>610</v>
      </c>
      <c r="S131" s="10"/>
      <c r="T131" s="10" t="s">
        <v>611</v>
      </c>
      <c r="U131" s="10"/>
      <c r="V131" s="11"/>
      <c r="W131" s="11"/>
      <c r="X131" s="11"/>
    </row>
    <row r="132" spans="1:24" ht="90" customHeight="1" x14ac:dyDescent="0.2">
      <c r="A132" s="8" t="s">
        <v>612</v>
      </c>
      <c r="B132" s="8" t="s">
        <v>574</v>
      </c>
      <c r="C132" s="8" t="s">
        <v>613</v>
      </c>
      <c r="D132" s="8">
        <v>11</v>
      </c>
      <c r="E132" s="8">
        <v>36</v>
      </c>
      <c r="F132" s="8" t="s">
        <v>56</v>
      </c>
      <c r="G132" s="8" t="s">
        <v>43</v>
      </c>
      <c r="H132" s="8" t="s">
        <v>44</v>
      </c>
      <c r="I132" s="8" t="s">
        <v>527</v>
      </c>
      <c r="J132" s="8" t="s">
        <v>614</v>
      </c>
      <c r="K132" s="8" t="s">
        <v>47</v>
      </c>
      <c r="L132" s="8" t="s">
        <v>48</v>
      </c>
      <c r="M132" s="8" t="s">
        <v>49</v>
      </c>
      <c r="N132" s="8" t="s">
        <v>48</v>
      </c>
      <c r="O132" s="8" t="s">
        <v>48</v>
      </c>
      <c r="P132" s="9" t="s">
        <v>452</v>
      </c>
      <c r="Q132" s="10"/>
      <c r="R132" s="10" t="s">
        <v>615</v>
      </c>
      <c r="S132" s="10">
        <v>4</v>
      </c>
      <c r="T132" s="10" t="s">
        <v>616</v>
      </c>
      <c r="U132" s="10" t="s">
        <v>455</v>
      </c>
      <c r="V132" s="11"/>
      <c r="W132" s="11"/>
      <c r="X132" s="11"/>
    </row>
    <row r="133" spans="1:24" ht="90" customHeight="1" x14ac:dyDescent="0.2">
      <c r="A133" s="8" t="s">
        <v>617</v>
      </c>
      <c r="B133" s="8" t="s">
        <v>574</v>
      </c>
      <c r="C133" s="8" t="s">
        <v>618</v>
      </c>
      <c r="D133" s="8">
        <v>12</v>
      </c>
      <c r="E133" s="8">
        <v>40</v>
      </c>
      <c r="F133" s="8" t="s">
        <v>67</v>
      </c>
      <c r="G133" s="8" t="s">
        <v>43</v>
      </c>
      <c r="H133" s="8" t="s">
        <v>44</v>
      </c>
      <c r="I133" s="8" t="s">
        <v>501</v>
      </c>
      <c r="J133" s="8" t="s">
        <v>619</v>
      </c>
      <c r="K133" s="8" t="s">
        <v>47</v>
      </c>
      <c r="L133" s="8" t="s">
        <v>48</v>
      </c>
      <c r="M133" s="8" t="s">
        <v>49</v>
      </c>
      <c r="N133" s="8" t="s">
        <v>48</v>
      </c>
      <c r="O133" s="8" t="s">
        <v>48</v>
      </c>
      <c r="P133" s="9" t="s">
        <v>101</v>
      </c>
      <c r="Q133" s="10"/>
      <c r="R133" s="10" t="s">
        <v>620</v>
      </c>
      <c r="S133" s="10">
        <v>4</v>
      </c>
      <c r="T133" s="10" t="s">
        <v>621</v>
      </c>
      <c r="U133" s="10" t="s">
        <v>622</v>
      </c>
      <c r="V133" s="11"/>
      <c r="W133" s="11"/>
      <c r="X133" s="11"/>
    </row>
  </sheetData>
  <autoFilter ref="A1:X133" xr:uid="{00000000-0009-0000-0000-000001000000}"/>
  <dataValidations count="2">
    <dataValidation type="list" allowBlank="1" sqref="V2:V133" xr:uid="{00000000-0002-0000-0100-000000000000}">
      <formula1>"Yes,No,Unsure"</formula1>
      <formula2>0</formula2>
    </dataValidation>
    <dataValidation type="list" allowBlank="1" sqref="W2:W133" xr:uid="{00000000-0002-0000-0100-000001000000}">
      <formula1>"Increase the dose,Increase the dose more slowly,Consider switching to a different medicine,Consider adding another medicine,Lower the dose,Hold at current dose,Keep the current dose (no change),Need more information"</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3"/>
  <sheetViews>
    <sheetView showGridLines="0" zoomScaleNormal="100" workbookViewId="0"/>
  </sheetViews>
  <sheetFormatPr baseColWidth="10" defaultColWidth="8.6640625" defaultRowHeight="15" x14ac:dyDescent="0.2"/>
  <cols>
    <col min="1" max="1" width="42" customWidth="1"/>
    <col min="2" max="2" width="10" customWidth="1"/>
  </cols>
  <sheetData>
    <row r="1" spans="1:2" ht="18" x14ac:dyDescent="0.2">
      <c r="A1" s="13" t="s">
        <v>623</v>
      </c>
    </row>
    <row r="3" spans="1:2" x14ac:dyDescent="0.2">
      <c r="A3" s="14" t="s">
        <v>624</v>
      </c>
      <c r="B3" s="14" t="s">
        <v>625</v>
      </c>
    </row>
    <row r="4" spans="1:2" x14ac:dyDescent="0.2">
      <c r="A4" s="15" t="s">
        <v>91</v>
      </c>
      <c r="B4" s="15">
        <v>10</v>
      </c>
    </row>
    <row r="5" spans="1:2" x14ac:dyDescent="0.2">
      <c r="A5" s="15" t="s">
        <v>143</v>
      </c>
      <c r="B5" s="15">
        <v>9</v>
      </c>
    </row>
    <row r="6" spans="1:2" x14ac:dyDescent="0.2">
      <c r="A6" s="15" t="s">
        <v>176</v>
      </c>
      <c r="B6" s="15">
        <v>37</v>
      </c>
    </row>
    <row r="7" spans="1:2" x14ac:dyDescent="0.2">
      <c r="A7" s="15" t="s">
        <v>101</v>
      </c>
      <c r="B7" s="15">
        <v>7</v>
      </c>
    </row>
    <row r="8" spans="1:2" x14ac:dyDescent="0.2">
      <c r="A8" s="15" t="s">
        <v>459</v>
      </c>
      <c r="B8" s="15">
        <v>2</v>
      </c>
    </row>
    <row r="9" spans="1:2" x14ac:dyDescent="0.2">
      <c r="A9" s="15" t="s">
        <v>452</v>
      </c>
      <c r="B9" s="15">
        <v>3</v>
      </c>
    </row>
    <row r="10" spans="1:2" x14ac:dyDescent="0.2">
      <c r="A10" s="15" t="s">
        <v>50</v>
      </c>
      <c r="B10" s="15">
        <v>45</v>
      </c>
    </row>
    <row r="11" spans="1:2" x14ac:dyDescent="0.2">
      <c r="A11" s="15" t="s">
        <v>125</v>
      </c>
      <c r="B11" s="15">
        <v>19</v>
      </c>
    </row>
    <row r="13" spans="1:2" x14ac:dyDescent="0.2">
      <c r="A13" s="14" t="s">
        <v>626</v>
      </c>
      <c r="B13" s="14">
        <f>SUM(B4:B11)</f>
        <v>132</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Cases</vt:lpstr>
      <vt:lpstr>Coverage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
  <cp:revision>0</cp:revision>
  <dcterms:created xsi:type="dcterms:W3CDTF">2026-07-01T22:24:07Z</dcterms:created>
  <dcterms:modified xsi:type="dcterms:W3CDTF">2026-07-01T22:28:45Z</dcterms:modified>
  <dc:language>en-US</dc:language>
</cp:coreProperties>
</file>