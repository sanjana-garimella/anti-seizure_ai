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Final Doses" sheetId="1" state="visible" r:id="rId3"/>
    <sheet name="Levetiracetam Initiation" sheetId="2" state="visible" r:id="rId4"/>
    <sheet name="Clobazam Initiation" sheetId="3" state="visible" r:id="rId5"/>
    <sheet name="Brivaracetam Initiation" sheetId="4" state="visible" r:id="rId6"/>
    <sheet name="Ethosuximide Initiation" sheetId="5" state="visible" r:id="rId7"/>
    <sheet name="Valproic acid Initiation" sheetId="6" state="visible" r:id="rId8"/>
    <sheet name="Zonisamide Initiation" sheetId="7" state="visible" r:id="rId9"/>
    <sheet name="Lacosamide Initiation" sheetId="8" state="visible" r:id="rId10"/>
    <sheet name="Topiramate Initiation" sheetId="9" state="visible" r:id="rId11"/>
    <sheet name="Oxcarbazepine Initiation" sheetId="10" state="visible" r:id="rId12"/>
    <sheet name="Lamotrigine Initiatio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B23" authorId="0">
      <text>
        <r>
          <rPr>
            <sz val="10"/>
            <rFont val="Arial"/>
            <family val="2"/>
          </rPr>
          <t xml:space="preserve">In-between step: needs a half 150 mg tablet. Use while titrating, not as a stopping dose.</t>
        </r>
      </text>
    </comment>
    <comment ref="AB24" authorId="0">
      <text>
        <r>
          <rPr>
            <sz val="10"/>
            <rFont val="Arial"/>
            <family val="2"/>
          </rPr>
          <t xml:space="preserve">In-between step: needs a half 150 mg tablet. Use while titrating, not as a stopping dose.</t>
        </r>
      </text>
    </comment>
    <comment ref="AB26" authorId="0">
      <text>
        <r>
          <rPr>
            <sz val="10"/>
            <rFont val="Arial"/>
            <family val="2"/>
          </rPr>
          <t xml:space="preserve">In-between step: needs a half 150 mg tablet. Use while titrating, not as a stopping dose.</t>
        </r>
      </text>
    </comment>
    <comment ref="AL23" authorId="0">
      <text>
        <r>
          <rPr>
            <sz val="10"/>
            <rFont val="Arial"/>
            <family val="2"/>
          </rPr>
          <t xml:space="preserve">In-between step: needs a half 150 mg tablet. Use while titrating, not as a stopping dose.</t>
        </r>
      </text>
    </comment>
    <comment ref="AL24" authorId="0">
      <text>
        <r>
          <rPr>
            <sz val="10"/>
            <rFont val="Arial"/>
            <family val="2"/>
          </rPr>
          <t xml:space="preserve">In-between step: needs a half 150 mg tablet. Use while titrating, not as a stopping dose.</t>
        </r>
      </text>
    </comment>
    <comment ref="AL26" authorId="0">
      <text>
        <r>
          <rPr>
            <sz val="10"/>
            <rFont val="Arial"/>
            <family val="2"/>
          </rPr>
          <t xml:space="preserve">In-between step: needs a half 150 mg tablet. Use while titrating, not as a stopping dose.</t>
        </r>
      </text>
    </comment>
  </commentList>
</comments>
</file>

<file path=xl/sharedStrings.xml><?xml version="1.0" encoding="utf-8"?>
<sst xmlns="http://schemas.openxmlformats.org/spreadsheetml/2006/main" count="2999" uniqueCount="703">
  <si>
    <t xml:space="preserve">Drug Name</t>
  </si>
  <si>
    <t xml:space="preserve">Age/Weight Group</t>
  </si>
  <si>
    <t xml:space="preserve">Times per day (IR)</t>
  </si>
  <si>
    <t xml:space="preserve">Initial Dose</t>
  </si>
  <si>
    <t xml:space="preserve">Ai</t>
  </si>
  <si>
    <t xml:space="preserve">Maintenance Dose</t>
  </si>
  <si>
    <t xml:space="preserve">Max Absolute Dose (mg/day)</t>
  </si>
  <si>
    <t xml:space="preserve">Dose Increase Amount</t>
  </si>
  <si>
    <t xml:space="preserve">Dose Increase Interval</t>
  </si>
  <si>
    <t xml:space="preserve">Max Dose Increase (mg/day)</t>
  </si>
  <si>
    <t xml:space="preserve">Absolute range</t>
  </si>
  <si>
    <t xml:space="preserve">Divide by</t>
  </si>
  <si>
    <t xml:space="preserve">1 Step Increment</t>
  </si>
  <si>
    <t xml:space="preserve">Common percent cap</t>
  </si>
  <si>
    <t xml:space="preserve">Effective range</t>
  </si>
  <si>
    <t xml:space="preserve">Minimum maintenance dose</t>
  </si>
  <si>
    <t xml:space="preserve">Usual Effective Max</t>
  </si>
  <si>
    <t xml:space="preserve">PreIncrem 9</t>
  </si>
  <si>
    <t xml:space="preserve">PreIncrem 8</t>
  </si>
  <si>
    <t xml:space="preserve">PreIncrem 7</t>
  </si>
  <si>
    <t xml:space="preserve">PreIncrem 6</t>
  </si>
  <si>
    <t xml:space="preserve">PreIncrem 5</t>
  </si>
  <si>
    <t xml:space="preserve">PreIncrem 4</t>
  </si>
  <si>
    <t xml:space="preserve">PreIncrem 3</t>
  </si>
  <si>
    <t xml:space="preserve">PreIncrem 2</t>
  </si>
  <si>
    <t xml:space="preserve">PreIncrem 1</t>
  </si>
  <si>
    <t xml:space="preserve">Increm 1</t>
  </si>
  <si>
    <t xml:space="preserve">Increm 2</t>
  </si>
  <si>
    <t xml:space="preserve">Increm 3</t>
  </si>
  <si>
    <t xml:space="preserve">Increm 4</t>
  </si>
  <si>
    <t xml:space="preserve">Increm 5</t>
  </si>
  <si>
    <t xml:space="preserve">Increm 6</t>
  </si>
  <si>
    <t xml:space="preserve">Increm 7</t>
  </si>
  <si>
    <t xml:space="preserve">Increm 8</t>
  </si>
  <si>
    <t xml:space="preserve">Increm 9</t>
  </si>
  <si>
    <t xml:space="preserve">PostIncrem 1</t>
  </si>
  <si>
    <t xml:space="preserve">PostIncrem 2</t>
  </si>
  <si>
    <t xml:space="preserve">PostIncrem 3</t>
  </si>
  <si>
    <t xml:space="preserve">PostIncrem 4</t>
  </si>
  <si>
    <t xml:space="preserve">PostIncrem 5</t>
  </si>
  <si>
    <t xml:space="preserve">PostIncrem 6</t>
  </si>
  <si>
    <t xml:space="preserve">PostIncrem 7</t>
  </si>
  <si>
    <t xml:space="preserve">Oral solution (mg/mL)</t>
  </si>
  <si>
    <t xml:space="preserve">IR tablet/capsule (mg)</t>
  </si>
  <si>
    <t xml:space="preserve">ER tablet/capsule (mg)</t>
  </si>
  <si>
    <t xml:space="preserve">Initiating1</t>
  </si>
  <si>
    <t xml:space="preserve">Times per day 1</t>
  </si>
  <si>
    <t xml:space="preserve">Initiating2</t>
  </si>
  <si>
    <t xml:space="preserve">Times per day 2</t>
  </si>
  <si>
    <t xml:space="preserve">Initiating3</t>
  </si>
  <si>
    <t xml:space="preserve">Initiating4</t>
  </si>
  <si>
    <t xml:space="preserve">Initiating5</t>
  </si>
  <si>
    <t xml:space="preserve">Initiating6</t>
  </si>
  <si>
    <t xml:space="preserve">Initiating7</t>
  </si>
  <si>
    <t xml:space="preserve">Initiating8</t>
  </si>
  <si>
    <t xml:space="preserve">Initiating9</t>
  </si>
  <si>
    <t xml:space="preserve">LevETIRAcetam</t>
  </si>
  <si>
    <t xml:space="preserve">Children ≥2 years and Adults</t>
  </si>
  <si>
    <t xml:space="preserve">10 mg/kg/day</t>
  </si>
  <si>
    <t xml:space="preserve">1,000</t>
  </si>
  <si>
    <t xml:space="preserve">30–60 mg/kg/day</t>
  </si>
  <si>
    <t xml:space="preserve">3,000</t>
  </si>
  <si>
    <t xml:space="preserve">Weekly</t>
  </si>
  <si>
    <t xml:space="preserve">20 mg/kg/day</t>
  </si>
  <si>
    <t xml:space="preserve">30 mg/kg/day</t>
  </si>
  <si>
    <t xml:space="preserve">35 mg/kg/day</t>
  </si>
  <si>
    <t xml:space="preserve">40 mg/kg/day</t>
  </si>
  <si>
    <t xml:space="preserve">45 mg/kg/day</t>
  </si>
  <si>
    <t xml:space="preserve">50 mg/kg/day</t>
  </si>
  <si>
    <t xml:space="preserve">55 mg/kg/day</t>
  </si>
  <si>
    <t xml:space="preserve">60 mg/kg/day</t>
  </si>
  <si>
    <t xml:space="preserve">100 mg/mL</t>
  </si>
  <si>
    <t xml:space="preserve">250 mg; 500 mg; 750 mg; 1000 mg</t>
  </si>
  <si>
    <t xml:space="preserve">500 mg; 750 mg; 1000 mg; 1500 mg</t>
  </si>
  <si>
    <t xml:space="preserve">*note, I often do uneven dosing to make it easier with the tablets</t>
  </si>
  <si>
    <t xml:space="preserve">Brivaracetam</t>
  </si>
  <si>
    <t xml:space="preserve">&lt;11 kg</t>
  </si>
  <si>
    <t xml:space="preserve">3 mg/kg/day</t>
  </si>
  <si>
    <t xml:space="preserve">50</t>
  </si>
  <si>
    <t xml:space="preserve">3–6 mg/kg/day</t>
  </si>
  <si>
    <t xml:space="preserve">200</t>
  </si>
  <si>
    <t xml:space="preserve">1.5 mg/kg/day</t>
  </si>
  <si>
    <t xml:space="preserve">25</t>
  </si>
  <si>
    <t xml:space="preserve">4.5 mg/kg/day</t>
  </si>
  <si>
    <t xml:space="preserve">6 mg/kg/day</t>
  </si>
  <si>
    <t xml:space="preserve">10 mg/mL</t>
  </si>
  <si>
    <t xml:space="preserve">10 mg; 25 mg; 50 mg; 75 mg; 100 mg</t>
  </si>
  <si>
    <t xml:space="preserve">11 to &lt;20 kg</t>
  </si>
  <si>
    <t xml:space="preserve">2.5 mg/kg/day</t>
  </si>
  <si>
    <t xml:space="preserve">2.5–5 mg/kg/day</t>
  </si>
  <si>
    <t xml:space="preserve">1.25 mg/kg/day</t>
  </si>
  <si>
    <t xml:space="preserve">3.75 mg/kg/day</t>
  </si>
  <si>
    <t xml:space="preserve">5 mg/kg/day</t>
  </si>
  <si>
    <t xml:space="preserve">20 to &lt;50 kg</t>
  </si>
  <si>
    <t xml:space="preserve">2 mg/kg/day</t>
  </si>
  <si>
    <t xml:space="preserve">2–4 mg/kg/day</t>
  </si>
  <si>
    <t xml:space="preserve">1 mg/kg/day</t>
  </si>
  <si>
    <t xml:space="preserve">4 mg/kg/day</t>
  </si>
  <si>
    <t xml:space="preserve">≥50 kg</t>
  </si>
  <si>
    <t xml:space="preserve">100 mg/day</t>
  </si>
  <si>
    <t xml:space="preserve">50–200 mg/day</t>
  </si>
  <si>
    <t xml:space="preserve">50 mg/day</t>
  </si>
  <si>
    <t xml:space="preserve">150 mg/day</t>
  </si>
  <si>
    <t xml:space="preserve">200 mg/day</t>
  </si>
  <si>
    <t xml:space="preserve">Carbamazepine</t>
  </si>
  <si>
    <t xml:space="preserve">Children 2 to &lt;6 years</t>
  </si>
  <si>
    <t xml:space="preserve">10–35 mg/kg/day</t>
  </si>
  <si>
    <t xml:space="preserve">800</t>
  </si>
  <si>
    <t xml:space="preserve">100</t>
  </si>
  <si>
    <t xml:space="preserve">15 mg/kg/day</t>
  </si>
  <si>
    <t xml:space="preserve">25 mg/kg/day</t>
  </si>
  <si>
    <t xml:space="preserve">20 mg/mL</t>
  </si>
  <si>
    <t xml:space="preserve">100 mg; 200 mg</t>
  </si>
  <si>
    <t xml:space="preserve">100 mg; 200 mg; 300 mg; 400 mg</t>
  </si>
  <si>
    <t xml:space="preserve">Not applicable</t>
  </si>
  <si>
    <t xml:space="preserve">Children ≥6 to 12 years</t>
  </si>
  <si>
    <t xml:space="preserve">400–800 mg/day</t>
  </si>
  <si>
    <t xml:space="preserve">300 mg/day</t>
  </si>
  <si>
    <t xml:space="preserve">400 mg/day</t>
  </si>
  <si>
    <t xml:space="preserve">500 mg/day</t>
  </si>
  <si>
    <t xml:space="preserve">600 mg/day</t>
  </si>
  <si>
    <t xml:space="preserve">700 mg/day</t>
  </si>
  <si>
    <t xml:space="preserve">800 mg/day</t>
  </si>
  <si>
    <t xml:space="preserve">Adolescents 13–18 years</t>
  </si>
  <si>
    <t xml:space="preserve">400</t>
  </si>
  <si>
    <t xml:space="preserve">800–1,200 mg/day</t>
  </si>
  <si>
    <t xml:space="preserve">1,200</t>
  </si>
  <si>
    <t xml:space="preserve">900 mg/day</t>
  </si>
  <si>
    <t xml:space="preserve">1000 mg/day</t>
  </si>
  <si>
    <t xml:space="preserve">1100 mg/day</t>
  </si>
  <si>
    <t xml:space="preserve">1200 mg/day</t>
  </si>
  <si>
    <t xml:space="preserve">Adults &gt;18 years</t>
  </si>
  <si>
    <t xml:space="preserve">800–2,000 mg/day</t>
  </si>
  <si>
    <t xml:space="preserve">2,000</t>
  </si>
  <si>
    <t xml:space="preserve">1300 mg/day</t>
  </si>
  <si>
    <t xml:space="preserve">1400 mg/day</t>
  </si>
  <si>
    <t xml:space="preserve">1500 mg/day</t>
  </si>
  <si>
    <t xml:space="preserve">1600 mg/day</t>
  </si>
  <si>
    <t xml:space="preserve">1700 mg/day</t>
  </si>
  <si>
    <t xml:space="preserve">1800 mg/day</t>
  </si>
  <si>
    <t xml:space="preserve">1900 mg/day</t>
  </si>
  <si>
    <t xml:space="preserve">2000 mg/day</t>
  </si>
  <si>
    <t xml:space="preserve">Clobazam</t>
  </si>
  <si>
    <t xml:space="preserve">&lt;20 kg</t>
  </si>
  <si>
    <t xml:space="preserve">2.5 mg/day</t>
  </si>
  <si>
    <t xml:space="preserve">5</t>
  </si>
  <si>
    <t xml:space="preserve">5–20 mg/day</t>
  </si>
  <si>
    <t xml:space="preserve">20</t>
  </si>
  <si>
    <t xml:space="preserve">5 mg/day</t>
  </si>
  <si>
    <t xml:space="preserve">7.5 mg/day</t>
  </si>
  <si>
    <t xml:space="preserve">10 mg/day</t>
  </si>
  <si>
    <t xml:space="preserve">12.5 mg/day</t>
  </si>
  <si>
    <t xml:space="preserve">15 mg/day</t>
  </si>
  <si>
    <t xml:space="preserve">17.5 mg/day</t>
  </si>
  <si>
    <t xml:space="preserve">20 mg/day</t>
  </si>
  <si>
    <t xml:space="preserve">2.5 mg/mL</t>
  </si>
  <si>
    <t xml:space="preserve">10 mg; 20 mg</t>
  </si>
  <si>
    <t xml:space="preserve">20 to &lt;30 kg</t>
  </si>
  <si>
    <t xml:space="preserve">10–20 mg/day</t>
  </si>
  <si>
    <t xml:space="preserve">30 to &lt;50 kg</t>
  </si>
  <si>
    <t xml:space="preserve">10–40 mg/day</t>
  </si>
  <si>
    <t xml:space="preserve">40</t>
  </si>
  <si>
    <t xml:space="preserve">25 mg/day</t>
  </si>
  <si>
    <t xml:space="preserve">30 mg/day</t>
  </si>
  <si>
    <t xml:space="preserve">35 mg/day</t>
  </si>
  <si>
    <t xml:space="preserve">40 mg/day</t>
  </si>
  <si>
    <t xml:space="preserve">Ethosuximide</t>
  </si>
  <si>
    <t xml:space="preserve">250</t>
  </si>
  <si>
    <t xml:space="preserve">20–30 mg/kg/day</t>
  </si>
  <si>
    <t xml:space="preserve">23.33 mg/kg/day</t>
  </si>
  <si>
    <t xml:space="preserve">26.67 mg/kg/day</t>
  </si>
  <si>
    <t xml:space="preserve">50 mg/mL</t>
  </si>
  <si>
    <t xml:space="preserve">250 mg</t>
  </si>
  <si>
    <t xml:space="preserve">Lacosamide</t>
  </si>
  <si>
    <t xml:space="preserve">6 to &lt;30 kg</t>
  </si>
  <si>
    <t xml:space="preserve">6–12 mg/kg/day</t>
  </si>
  <si>
    <t xml:space="preserve">7 mg/kg/day</t>
  </si>
  <si>
    <t xml:space="preserve">8 mg/kg/day</t>
  </si>
  <si>
    <t xml:space="preserve">9 mg/kg/day</t>
  </si>
  <si>
    <t xml:space="preserve">11 mg/kg/day</t>
  </si>
  <si>
    <t xml:space="preserve">12 mg/kg/day</t>
  </si>
  <si>
    <t xml:space="preserve">50 mg; 100 mg; 150 mg; 200 mg</t>
  </si>
  <si>
    <t xml:space="preserve">100 mg; 150 mg; 200 mg</t>
  </si>
  <si>
    <t xml:space="preserve">4–8 mg/kg/day</t>
  </si>
  <si>
    <t xml:space="preserve">200–400 mg/day</t>
  </si>
  <si>
    <t xml:space="preserve">250 mg/day</t>
  </si>
  <si>
    <t xml:space="preserve">350 mg/day</t>
  </si>
  <si>
    <t xml:space="preserve">LamoTRIgine*</t>
  </si>
  <si>
    <t xml:space="preserve">Children 2–12 years</t>
  </si>
  <si>
    <t xml:space="preserve">0.3 mg/kg/day</t>
  </si>
  <si>
    <t xml:space="preserve">12.5</t>
  </si>
  <si>
    <t xml:space="preserve">4.5–7.5 mg/kg/day</t>
  </si>
  <si>
    <t xml:space="preserve">300</t>
  </si>
  <si>
    <t xml:space="preserve">0.6 mg/kg/day</t>
  </si>
  <si>
    <t xml:space="preserve">1.2 mg/kg/day</t>
  </si>
  <si>
    <t xml:space="preserve">1.8 mg/kg/day</t>
  </si>
  <si>
    <t xml:space="preserve">2.4 mg/kg/day</t>
  </si>
  <si>
    <t xml:space="preserve">3.6 mg/kg/day</t>
  </si>
  <si>
    <t xml:space="preserve">4.2 mg/kg/day</t>
  </si>
  <si>
    <t xml:space="preserve">5.5 mg/kg/day</t>
  </si>
  <si>
    <t xml:space="preserve">6.5 mg/kg/day</t>
  </si>
  <si>
    <t xml:space="preserve">7.5 mg/kg/day</t>
  </si>
  <si>
    <t xml:space="preserve">5 mg; 25 mg; 50 mg; 100 mg; 150 mg; 200 mg</t>
  </si>
  <si>
    <t xml:space="preserve">25 mg; 50 mg; 100 mg; 200 mg; 250 mg; 300 mg</t>
  </si>
  <si>
    <t xml:space="preserve">*Note, the first 4 weeks are lower doses, then for week 5-9, they are a little faster.</t>
  </si>
  <si>
    <t xml:space="preserve">Adolescents 12–16 years</t>
  </si>
  <si>
    <t xml:space="preserve">225–375 mg/day</t>
  </si>
  <si>
    <t xml:space="preserve">225 mg/day</t>
  </si>
  <si>
    <t xml:space="preserve">275 mg/day</t>
  </si>
  <si>
    <t xml:space="preserve">325 mg/day</t>
  </si>
  <si>
    <t xml:space="preserve">375 mg/day</t>
  </si>
  <si>
    <t xml:space="preserve">*even throughout</t>
  </si>
  <si>
    <t xml:space="preserve">&gt;16 years</t>
  </si>
  <si>
    <t xml:space="preserve">500</t>
  </si>
  <si>
    <t xml:space="preserve">*Note, the first 4 weeks are lower doses, then for week 5-9, they are a little faster</t>
  </si>
  <si>
    <t xml:space="preserve">Oxcarbazepine</t>
  </si>
  <si>
    <t xml:space="preserve">23.25–60 mg/kg/day</t>
  </si>
  <si>
    <t xml:space="preserve">900</t>
  </si>
  <si>
    <t xml:space="preserve">12.75 mg/kg/day</t>
  </si>
  <si>
    <t xml:space="preserve">18 mg/kg/day</t>
  </si>
  <si>
    <t xml:space="preserve">23.25 mg/kg/day</t>
  </si>
  <si>
    <t xml:space="preserve">28.5 mg/kg/day</t>
  </si>
  <si>
    <t xml:space="preserve">33.75 mg/kg/day</t>
  </si>
  <si>
    <t xml:space="preserve">39 mg/kg/day</t>
  </si>
  <si>
    <t xml:space="preserve">44.25 mg/kg/day</t>
  </si>
  <si>
    <t xml:space="preserve">49.5 mg/kg/day</t>
  </si>
  <si>
    <t xml:space="preserve">54.75 mg/kg/day</t>
  </si>
  <si>
    <t xml:space="preserve">60 mg/mL</t>
  </si>
  <si>
    <t xml:space="preserve">150 mg; 300 mg; 600 mg</t>
  </si>
  <si>
    <t xml:space="preserve">20 to &lt;25 kg</t>
  </si>
  <si>
    <t xml:space="preserve">600–900 mg/day</t>
  </si>
  <si>
    <t xml:space="preserve">675 mg/day</t>
  </si>
  <si>
    <t xml:space="preserve">750 mg/day</t>
  </si>
  <si>
    <t xml:space="preserve">825 mg/day</t>
  </si>
  <si>
    <t xml:space="preserve">25 to &lt;35 kg</t>
  </si>
  <si>
    <t xml:space="preserve">900–1,200 mg/day</t>
  </si>
  <si>
    <t xml:space="preserve">450 mg/day</t>
  </si>
  <si>
    <t xml:space="preserve">975 mg/day</t>
  </si>
  <si>
    <t xml:space="preserve">1050 mg/day</t>
  </si>
  <si>
    <t xml:space="preserve">1125 mg/day</t>
  </si>
  <si>
    <t xml:space="preserve">35 to &lt;45 kg</t>
  </si>
  <si>
    <t xml:space="preserve">900–1,500 mg/day</t>
  </si>
  <si>
    <t xml:space="preserve">1,500</t>
  </si>
  <si>
    <t xml:space="preserve">1350 mg/day</t>
  </si>
  <si>
    <t xml:space="preserve">45 to &lt;50 kg</t>
  </si>
  <si>
    <t xml:space="preserve">1,200–1,500 mg/day</t>
  </si>
  <si>
    <t xml:space="preserve">1275 mg/day</t>
  </si>
  <si>
    <t xml:space="preserve">1425 mg/day</t>
  </si>
  <si>
    <t xml:space="preserve">50 to &lt;60 kg</t>
  </si>
  <si>
    <t xml:space="preserve">1,200–1,800 mg/day</t>
  </si>
  <si>
    <t xml:space="preserve">1,800</t>
  </si>
  <si>
    <t xml:space="preserve">600</t>
  </si>
  <si>
    <t xml:space="preserve">1650 mg/day</t>
  </si>
  <si>
    <t xml:space="preserve">≥60 kg</t>
  </si>
  <si>
    <t xml:space="preserve">1,200–2,100 mg/day</t>
  </si>
  <si>
    <t xml:space="preserve">2,100</t>
  </si>
  <si>
    <t xml:space="preserve">1950 mg/day</t>
  </si>
  <si>
    <t xml:space="preserve">2100 mg/day</t>
  </si>
  <si>
    <t xml:space="preserve">Topiramate</t>
  </si>
  <si>
    <t xml:space="preserve">≤11 kg</t>
  </si>
  <si>
    <t xml:space="preserve">150–250 mg/day</t>
  </si>
  <si>
    <t xml:space="preserve">75 mg/day</t>
  </si>
  <si>
    <t xml:space="preserve">125 mg/day</t>
  </si>
  <si>
    <t xml:space="preserve">165 mg/day</t>
  </si>
  <si>
    <t xml:space="preserve">180 mg/day</t>
  </si>
  <si>
    <t xml:space="preserve">195 mg/day</t>
  </si>
  <si>
    <t xml:space="preserve">210 mg/day</t>
  </si>
  <si>
    <t xml:space="preserve">240 mg/day</t>
  </si>
  <si>
    <t xml:space="preserve">25 mg/mL</t>
  </si>
  <si>
    <t xml:space="preserve">15 mg; 25 mg; 50 mg; 100 mg; 200 mg</t>
  </si>
  <si>
    <t xml:space="preserve">25 mg; 50 mg; 100 mg; 150 mg; 200 mg</t>
  </si>
  <si>
    <t xml:space="preserve">12–22 kg</t>
  </si>
  <si>
    <t xml:space="preserve">200–300 mg/day</t>
  </si>
  <si>
    <t xml:space="preserve">175 mg/day</t>
  </si>
  <si>
    <t xml:space="preserve">23–38 kg</t>
  </si>
  <si>
    <t xml:space="preserve">200–350 mg/day</t>
  </si>
  <si>
    <t xml:space="preserve">350</t>
  </si>
  <si>
    <t xml:space="preserve">&gt;38 kg</t>
  </si>
  <si>
    <t xml:space="preserve">250–400 mg/day</t>
  </si>
  <si>
    <t xml:space="preserve">Valproic acid</t>
  </si>
  <si>
    <t xml:space="preserve">125 mg; 250 mg; 500 mg</t>
  </si>
  <si>
    <t xml:space="preserve">250 mg; 500 mg</t>
  </si>
  <si>
    <t xml:space="preserve">Zonisamide</t>
  </si>
  <si>
    <t xml:space="preserve">Children 2 to &lt;5 years</t>
  </si>
  <si>
    <t xml:space="preserve">5–8 mg/kg/day</t>
  </si>
  <si>
    <t xml:space="preserve">0.7 mg/kg/day</t>
  </si>
  <si>
    <t xml:space="preserve">3.5 mg/kg/day</t>
  </si>
  <si>
    <t xml:space="preserve">25 mg; 50 mg; 100 mg</t>
  </si>
  <si>
    <t xml:space="preserve">Children ≥5 to &lt;16 years</t>
  </si>
  <si>
    <t xml:space="preserve">0.5 mg/kg/day</t>
  </si>
  <si>
    <t xml:space="preserve">400–600 mg/day</t>
  </si>
  <si>
    <t xml:space="preserve">Every 2 weeks</t>
  </si>
  <si>
    <t xml:space="preserve">550 mg/day</t>
  </si>
  <si>
    <t xml:space="preserve">*For patients NOT receiving valproate and NOT receiving enzyme-inducing antiseizure medications</t>
  </si>
  <si>
    <t xml:space="preserve">† Order when above the usual effective max, if applicable to current medication:</t>
  </si>
  <si>
    <t xml:space="preserve">  • Valproic acid: CBC, CMP, LFTs, ammonia, amylase, lipase, TSH, vitamin D, valproic acid level</t>
  </si>
  <si>
    <t xml:space="preserve">  • Carbamazepine: CBC, CMP, LFTs, TSH, vitamin D, carbamazepine level</t>
  </si>
  <si>
    <t xml:space="preserve">  • Oxcarbazepine: CBC, CMP, LFTs, TSH, vitamin D, oxcarbazepine level</t>
  </si>
  <si>
    <t xml:space="preserve">  • Topiramate: CBC, CMP, TSH, vitamin D, topiramate level</t>
  </si>
  <si>
    <t xml:space="preserve">  • Zonisamide: CBC, CMP, TSH, vitamin D, zonisamide level</t>
  </si>
  <si>
    <t xml:space="preserve">  • Ethosuximide: ethosuximide level</t>
  </si>
  <si>
    <t xml:space="preserve">  • Lacosamide: EKG</t>
  </si>
  <si>
    <t xml:space="preserve">Levetiracetam — Initiation titration by weight</t>
  </si>
  <si>
    <t xml:space="preserve">Dosed twice daily. Steps go 10, 20, then 30 mg/kg/day and stop. If needed, keep titrating toward the maintenance range in the last column.</t>
  </si>
  <si>
    <t xml:space="preserve">Week 1 is at or below 10 mg/kg/day. Each weekly increase stays within 10 mg/kg/day (plus 10%). Every band’s final step is checked against the 10%-below / 30%-above window around 30 mg/kg/day.</t>
  </si>
  <si>
    <t xml:space="preserve">Solution 100 mg/mL, split evenly AM/PM, measured to 0.1 mL under 5 mL and whole mL from 5 mL. Tablets 250 / 500 / 750 / 1000 mg, one strength per band, whole or half. Schedules end on whole tablets.</t>
  </si>
  <si>
    <t xml:space="preserve">A dash means no tablet schedule fits that band, so use the solution.</t>
  </si>
  <si>
    <t xml:space="preserve">Oral solution  (100 mg/mL)</t>
  </si>
  <si>
    <t xml:space="preserve">Weight band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</si>
  <si>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</si>
  <si>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</si>
  <si>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</si>
  <si>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</si>
  <si>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</si>
  <si>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</si>
  <si>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Titrate toward</t>
  </si>
  <si>
    <t xml:space="preserve">10–12.5 kg</t>
  </si>
  <si>
    <t xml:space="preserve">0.6 mL AM &amp; PM</t>
  </si>
  <si>
    <t xml:space="preserve">1.1 mL AM &amp; PM</t>
  </si>
  <si>
    <t xml:space="preserve">1.6 mL AM &amp; PM</t>
  </si>
  <si>
    <t xml:space="preserve">12.5–15 kg</t>
  </si>
  <si>
    <t xml:space="preserve">0.7 mL AM &amp; PM</t>
  </si>
  <si>
    <t xml:space="preserve">1.3 mL AM &amp; PM</t>
  </si>
  <si>
    <t xml:space="preserve">1.9 mL AM &amp; PM</t>
  </si>
  <si>
    <t xml:space="preserve">15–17.5 kg</t>
  </si>
  <si>
    <t xml:space="preserve">0.8 mL AM &amp; PM</t>
  </si>
  <si>
    <t xml:space="preserve">2.4 mL AM &amp; PM</t>
  </si>
  <si>
    <t xml:space="preserve">17.5–20 kg</t>
  </si>
  <si>
    <t xml:space="preserve">1 mL AM &amp; PM</t>
  </si>
  <si>
    <t xml:space="preserve">2.8 mL AM &amp; PM</t>
  </si>
  <si>
    <t xml:space="preserve">20–22.5 kg</t>
  </si>
  <si>
    <t xml:space="preserve">2.1 mL AM &amp; PM</t>
  </si>
  <si>
    <t xml:space="preserve">3.2 mL AM &amp; PM</t>
  </si>
  <si>
    <t xml:space="preserve">22.5–25 kg</t>
  </si>
  <si>
    <t xml:space="preserve">1.2 mL AM &amp; PM</t>
  </si>
  <si>
    <t xml:space="preserve">3.6 mL AM &amp; PM</t>
  </si>
  <si>
    <t xml:space="preserve">25–27.5 kg</t>
  </si>
  <si>
    <t xml:space="preserve">2.6 mL AM &amp; PM</t>
  </si>
  <si>
    <t xml:space="preserve">3.9 mL AM &amp; PM</t>
  </si>
  <si>
    <t xml:space="preserve">27.5–30 kg</t>
  </si>
  <si>
    <t xml:space="preserve">1.4 mL AM &amp; PM</t>
  </si>
  <si>
    <t xml:space="preserve">2.9 mL AM &amp; PM</t>
  </si>
  <si>
    <t xml:space="preserve">4.3 mL AM &amp; PM</t>
  </si>
  <si>
    <t xml:space="preserve">30–35 kg</t>
  </si>
  <si>
    <t xml:space="preserve">4.8 mL AM &amp; PM</t>
  </si>
  <si>
    <t xml:space="preserve">35–40 kg</t>
  </si>
  <si>
    <t xml:space="preserve">3.5 mL AM &amp; PM</t>
  </si>
  <si>
    <t xml:space="preserve">5 mL AM &amp; PM</t>
  </si>
  <si>
    <t xml:space="preserve">40–45 kg</t>
  </si>
  <si>
    <t xml:space="preserve">4.2 mL AM &amp; PM</t>
  </si>
  <si>
    <t xml:space="preserve">6 mL AM &amp; PM</t>
  </si>
  <si>
    <t xml:space="preserve">45–50 kg</t>
  </si>
  <si>
    <t xml:space="preserve">4.7 mL AM &amp; PM</t>
  </si>
  <si>
    <t xml:space="preserve">7 mL AM &amp; PM</t>
  </si>
  <si>
    <t xml:space="preserve">≥50 kg (adult)</t>
  </si>
  <si>
    <t xml:space="preserve">2.5 mL AM &amp; PM</t>
  </si>
  <si>
    <t xml:space="preserve">7.5 mL AM &amp; PM</t>
  </si>
  <si>
    <t xml:space="preserve">1,500–3,000 mg/day</t>
  </si>
  <si>
    <t xml:space="preserve">Tablets  (250 / 500 / 750 / 1000 mg)</t>
  </si>
  <si>
    <t xml:space="preserve">—</t>
  </si>
  <si>
    <t xml:space="preserve">½ × 250 mg once daily</t>
  </si>
  <si>
    <t xml:space="preserve">½ × 250 mg AM &amp; PM</t>
  </si>
  <si>
    <t xml:space="preserve">½ × 250 mg AM, 1 × 250 mg PM</t>
  </si>
  <si>
    <t xml:space="preserve">1 × 250 mg AM &amp; PM</t>
  </si>
  <si>
    <t xml:space="preserve">1 × 250 mg AM, 1½ × 250 mg PM</t>
  </si>
  <si>
    <t xml:space="preserve">1 × 250 mg AM, 2 × 250 mg PM</t>
  </si>
  <si>
    <t xml:space="preserve">1 × 250 mg once daily</t>
  </si>
  <si>
    <t xml:space="preserve">½ × 500 mg once daily</t>
  </si>
  <si>
    <t xml:space="preserve">½ × 500 mg AM &amp; PM</t>
  </si>
  <si>
    <t xml:space="preserve">½ × 500 mg AM, 1 × 500 mg PM</t>
  </si>
  <si>
    <t xml:space="preserve">1 × 500 mg AM &amp; PM</t>
  </si>
  <si>
    <t xml:space="preserve">½ × 750 mg once daily</t>
  </si>
  <si>
    <t xml:space="preserve">½ × 750 mg AM &amp; PM</t>
  </si>
  <si>
    <t xml:space="preserve">½ × 750 mg AM, 1 × 750 mg PM</t>
  </si>
  <si>
    <t xml:space="preserve">1 × 750 mg AM &amp; PM</t>
  </si>
  <si>
    <t xml:space="preserve">Clobazam — Initiation titration by weight group</t>
  </si>
  <si>
    <t xml:space="preserve">Clobazam is dosed by weight group with fixed doses (not mg/kg). The ≥ 50 kg row keeps going to 10 mg twice daily, so it ends on whole tablets.</t>
  </si>
  <si>
    <t xml:space="preserve">Week 1 is a single dose at night. From week 2 the dose is split twice daily. Each weekly increase is 5 mg/day or less (Lexicomp: no more often than every 5 days). Titrate further toward the maintenance range as tolerated.</t>
  </si>
  <si>
    <t xml:space="preserve">Oral solution 2.5 mg/mL; tablets 10 / 20 mg (scored, halve to 5 mg).</t>
  </si>
  <si>
    <t xml:space="preserve">Doses under 20 kg (2.5–5 mg) are too small to divide from a 10 mg tablet, so the oral solution is used.</t>
  </si>
  <si>
    <t xml:space="preserve">Oral solution  (2.5 mg/mL)</t>
  </si>
  <si>
    <t xml:space="preserve">Weight group</t>
  </si>
  <si>
    <t xml:space="preserve">&lt; 20 kg</t>
  </si>
  <si>
    <t xml:space="preserve">1 mL once daily, at night  (2.5 mg/d)</t>
  </si>
  <si>
    <t xml:space="preserve">1 mL AM &amp; PM  (5 mg/d)</t>
  </si>
  <si>
    <t xml:space="preserve">20–30 kg</t>
  </si>
  <si>
    <t xml:space="preserve">2 mL once daily, at night  (5 mg/d)</t>
  </si>
  <si>
    <t xml:space="preserve">2 mL AM &amp; PM  (10 mg/d)</t>
  </si>
  <si>
    <t xml:space="preserve">30–50 kg</t>
  </si>
  <si>
    <t xml:space="preserve">≥ 50 kg</t>
  </si>
  <si>
    <t xml:space="preserve">3 mL AM &amp; PM  (15 mg/d)</t>
  </si>
  <si>
    <t xml:space="preserve">4 mL AM &amp; PM  (20 mg/d)</t>
  </si>
  <si>
    <t xml:space="preserve">Tablets  (10 / 20 mg)</t>
  </si>
  <si>
    <t xml:space="preserve">½ × 10 mg once daily, at night  (5 mg/d)</t>
  </si>
  <si>
    <t xml:space="preserve">½ × 10 mg AM &amp; PM  (10 mg/d)</t>
  </si>
  <si>
    <t xml:space="preserve">½ × 10 mg AM, 1 × 10 mg PM  (15 mg/d)</t>
  </si>
  <si>
    <t xml:space="preserve">1 × 10 mg AM &amp; PM  (20 mg/d)</t>
  </si>
  <si>
    <t xml:space="preserve">Brivaracetam — Initiation (started directly, no gradual titration)</t>
  </si>
  <si>
    <t xml:space="preserve">Brivaracetam needs no gradual titration — start at the dose shown, twice daily, then adjust within the maintenance range.</t>
  </si>
  <si>
    <t xml:space="preserve">Dose is the top of the Lexicomp starting range at the band midpoint, rounded down: up to 3 mg/kg/day under 11 kg, 2.5 from 11–20 kg, 2 from 20–50 kg, and 100 mg/day from 50 kg.</t>
  </si>
  <si>
    <t xml:space="preserve">Oral solution 10 mg/mL, split evenly AM/PM and measured to 0.1 mL. Tablets 10 / 25 / 50 / 75 / 100 mg (not scored), one strength per band, whole tablets only, one tablet per dose where Lexicomp’s starting range allows. A dash means no tablet dose fits, so use the solution.</t>
  </si>
  <si>
    <t xml:space="preserve">Lexicomp maximum daily doses: 6 mg/kg/day under 11 kg, 5 from 11–20 kg, 4 from 20–50 kg, 200 mg/day from 50 kg.</t>
  </si>
  <si>
    <t xml:space="preserve">Oral solution  (10 mg/mL)</t>
  </si>
  <si>
    <t xml:space="preserve">Tablets  (10–100 mg)</t>
  </si>
  <si>
    <t xml:space="preserve">mg/kg across band</t>
  </si>
  <si>
    <t xml:space="preserve">Adjust within</t>
  </si>
  <si>
    <t xml:space="preserve">5–7.5 kg</t>
  </si>
  <si>
    <t xml:space="preserve">0.9 mL AM &amp; PM  (18 mg/d)</t>
  </si>
  <si>
    <t xml:space="preserve">2.4 – 3.6</t>
  </si>
  <si>
    <t xml:space="preserve">up to 6 mg/kg/day</t>
  </si>
  <si>
    <t xml:space="preserve">7.5–10 kg</t>
  </si>
  <si>
    <t xml:space="preserve">1.3 mL AM &amp; PM  (26 mg/d)</t>
  </si>
  <si>
    <t xml:space="preserve">2.6 – 3.5  (tab 2.0 – 2.7)</t>
  </si>
  <si>
    <t xml:space="preserve">10–11 kg</t>
  </si>
  <si>
    <t xml:space="preserve">1.5 mL AM &amp; PM  (30 mg/d)</t>
  </si>
  <si>
    <t xml:space="preserve">2.7 – 3.0  (tab 1.8 – 2.0)</t>
  </si>
  <si>
    <t xml:space="preserve">11–13.5 kg</t>
  </si>
  <si>
    <t xml:space="preserve">2.2 – 2.7  (tab 1.5 – 1.8)</t>
  </si>
  <si>
    <t xml:space="preserve">up to 5 mg/kg/day</t>
  </si>
  <si>
    <t xml:space="preserve">13.5–16 kg</t>
  </si>
  <si>
    <t xml:space="preserve">1.8 mL AM &amp; PM  (36 mg/d)</t>
  </si>
  <si>
    <t xml:space="preserve">2.2 – 2.7  (tab 1.2 – 1.5)</t>
  </si>
  <si>
    <t xml:space="preserve">16–18.5 kg</t>
  </si>
  <si>
    <t xml:space="preserve">2.1 mL AM &amp; PM  (42 mg/d)</t>
  </si>
  <si>
    <t xml:space="preserve">2.3 – 2.6  (tab 1.1 – 1.2)</t>
  </si>
  <si>
    <t xml:space="preserve">18.5–20 kg</t>
  </si>
  <si>
    <t xml:space="preserve">2.4 mL AM &amp; PM  (48 mg/d)</t>
  </si>
  <si>
    <t xml:space="preserve">2.4 – 2.6  (tab 1.0 – 1.1)</t>
  </si>
  <si>
    <t xml:space="preserve">2 × 10 mg AM &amp; PM  (40 mg/d)</t>
  </si>
  <si>
    <t xml:space="preserve">1.9 – 2.1  (tab 1.8 – 2.0)</t>
  </si>
  <si>
    <t xml:space="preserve">up to 4 mg/kg/day</t>
  </si>
  <si>
    <t xml:space="preserve">2.3 mL AM &amp; PM  (46 mg/d)</t>
  </si>
  <si>
    <t xml:space="preserve">1.8 – 2.0  (tab 1.6 – 1.8)</t>
  </si>
  <si>
    <t xml:space="preserve">2.6 mL AM &amp; PM  (52 mg/d)</t>
  </si>
  <si>
    <t xml:space="preserve">1 × 25 mg AM &amp; PM  (50 mg/d)</t>
  </si>
  <si>
    <t xml:space="preserve">2.8 mL AM &amp; PM  (56 mg/d)</t>
  </si>
  <si>
    <t xml:space="preserve">1.9 – 2.0  (tab 1.7 – 1.8)</t>
  </si>
  <si>
    <t xml:space="preserve">30–32.5 kg</t>
  </si>
  <si>
    <t xml:space="preserve">3.1 mL AM &amp; PM  (62 mg/d)</t>
  </si>
  <si>
    <t xml:space="preserve">1.9 – 2.1  (tab 1.5 – 1.7)</t>
  </si>
  <si>
    <t xml:space="preserve">32.5–35 kg</t>
  </si>
  <si>
    <t xml:space="preserve">3.3 mL AM &amp; PM  (66 mg/d)</t>
  </si>
  <si>
    <t xml:space="preserve">1.9 – 2.0  (tab 1.4 – 1.5)</t>
  </si>
  <si>
    <t xml:space="preserve">35–37.5 kg</t>
  </si>
  <si>
    <t xml:space="preserve">3.6 mL AM &amp; PM  (72 mg/d)</t>
  </si>
  <si>
    <t xml:space="preserve">1.9 – 2.1  (tab 1.3 – 1.4)</t>
  </si>
  <si>
    <t xml:space="preserve">37.5–40 kg</t>
  </si>
  <si>
    <t xml:space="preserve">3.8 mL AM &amp; PM  (76 mg/d)</t>
  </si>
  <si>
    <t xml:space="preserve">1.9 – 2.0  (tab 1.2 – 1.3)</t>
  </si>
  <si>
    <t xml:space="preserve">40–42.5 kg</t>
  </si>
  <si>
    <t xml:space="preserve">4.1 mL AM &amp; PM  (82 mg/d)</t>
  </si>
  <si>
    <t xml:space="preserve">1.9 – 2.0  (tab 1.2 – 1.2)</t>
  </si>
  <si>
    <t xml:space="preserve">42.5–45 kg</t>
  </si>
  <si>
    <t xml:space="preserve">4.3 mL AM &amp; PM  (86 mg/d)</t>
  </si>
  <si>
    <t xml:space="preserve">1.9 – 2.0  (tab 1.1 – 1.2)</t>
  </si>
  <si>
    <t xml:space="preserve">45–47.5 kg</t>
  </si>
  <si>
    <t xml:space="preserve">4.6 mL AM &amp; PM  (92 mg/d)</t>
  </si>
  <si>
    <t xml:space="preserve">1.9 – 2.0  (tab 1.1 – 1.1)</t>
  </si>
  <si>
    <t xml:space="preserve">47.5–50 kg</t>
  </si>
  <si>
    <t xml:space="preserve">4.8 mL AM &amp; PM  (96 mg/d)</t>
  </si>
  <si>
    <t xml:space="preserve">1.9 – 2.0  (tab 1.0 – 1.1)</t>
  </si>
  <si>
    <t xml:space="preserve">5 mL AM &amp; PM  (100 mg/d)</t>
  </si>
  <si>
    <t xml:space="preserve">1 × 50 mg AM &amp; PM  (100 mg/d)</t>
  </si>
  <si>
    <t xml:space="preserve">≤ 2.0</t>
  </si>
  <si>
    <t xml:space="preserve">Ethosuximide — Initiation titration by weight</t>
  </si>
  <si>
    <t xml:space="preserve">Twice-daily. Titrate weekly: 10 → 15 → 20 mg/kg/day; 20 mg/kg (Week 3) is the maintenance floor and the dose target.</t>
  </si>
  <si>
    <t xml:space="preserve">Optimal window is 10% below to 30% above each week's target mg/kg; amber marks a band/step outside it.</t>
  </si>
  <si>
    <t xml:space="preserve">Oral solution 50 mg/mL, split evenly AM/PM (half mL under 5 mL). Capsules are 250 mg and not splittable, so smaller doses that aren't a whole-capsule twice-daily amount use the solution.</t>
  </si>
  <si>
    <t xml:space="preserve">Weight-dosed to 50 kg; from 50 kg the dose holds at the 50 kg amount (500 / 750 / 1000 mg/day), the adult dose. Maintenance range 20–30 mg/kg/day (max 2,000 mg/day).</t>
  </si>
  <si>
    <t xml:space="preserve">Oral solution  (50 mg/mL)</t>
  </si>
  <si>
    <t xml:space="preserve">Week 1 · 10 mg/kg/day</t>
  </si>
  <si>
    <t xml:space="preserve">Week 2 · 15 mg/kg/day</t>
  </si>
  <si>
    <t xml:space="preserve">Week 3 · 20 mg/kg/day  (target)</t>
  </si>
  <si>
    <t xml:space="preserve">1.2 mL AM &amp; PM  (120 mg/d)</t>
  </si>
  <si>
    <t xml:space="preserve">1.7 mL AM &amp; PM  (170 mg/d)</t>
  </si>
  <si>
    <t xml:space="preserve">2.2 mL AM &amp; PM  (220 mg/d)</t>
  </si>
  <si>
    <t xml:space="preserve">1.4 mL AM &amp; PM  (140 mg/d)</t>
  </si>
  <si>
    <t xml:space="preserve">2 mL AM &amp; PM  (200 mg/d)</t>
  </si>
  <si>
    <t xml:space="preserve">2.6 mL AM &amp; PM  (260 mg/d)</t>
  </si>
  <si>
    <t xml:space="preserve">1.6 mL AM &amp; PM  (160 mg/d)</t>
  </si>
  <si>
    <t xml:space="preserve">2.4 mL AM &amp; PM  (240 mg/d)</t>
  </si>
  <si>
    <t xml:space="preserve">3.2 mL AM &amp; PM  (320 mg/d)</t>
  </si>
  <si>
    <t xml:space="preserve">1.9 mL AM &amp; PM  (190 mg/d)</t>
  </si>
  <si>
    <t xml:space="preserve">2.8 mL AM &amp; PM  (280 mg/d)</t>
  </si>
  <si>
    <t xml:space="preserve">3.7 mL AM &amp; PM  (370 mg/d)</t>
  </si>
  <si>
    <t xml:space="preserve">2.1 mL AM &amp; PM  (210 mg/d)</t>
  </si>
  <si>
    <t xml:space="preserve">4.2 mL AM &amp; PM  (420 mg/d)</t>
  </si>
  <si>
    <t xml:space="preserve">3.6 mL AM &amp; PM  (360 mg/d)</t>
  </si>
  <si>
    <t xml:space="preserve">4.7 mL AM &amp; PM  (470 mg/d)</t>
  </si>
  <si>
    <t xml:space="preserve">3.9 mL AM &amp; PM  (390 mg/d)</t>
  </si>
  <si>
    <t xml:space="preserve">5 mL AM &amp; PM  (500 mg/d)</t>
  </si>
  <si>
    <t xml:space="preserve">3 mL AM &amp; PM  (300 mg/d)</t>
  </si>
  <si>
    <t xml:space="preserve">4.5 mL AM &amp; PM  (450 mg/d)</t>
  </si>
  <si>
    <t xml:space="preserve">6 mL AM &amp; PM  (600 mg/d)</t>
  </si>
  <si>
    <t xml:space="preserve">3.1 mL AM &amp; PM  (310 mg/d)</t>
  </si>
  <si>
    <t xml:space="preserve">3.4 mL AM &amp; PM  (340 mg/d)</t>
  </si>
  <si>
    <t xml:space="preserve">7 mL AM &amp; PM  (700 mg/d)</t>
  </si>
  <si>
    <t xml:space="preserve">4 mL AM &amp; PM  (400 mg/d)</t>
  </si>
  <si>
    <t xml:space="preserve">8 mL AM &amp; PM  (800 mg/d)</t>
  </si>
  <si>
    <t xml:space="preserve">4.1 mL AM &amp; PM  (410 mg/d)</t>
  </si>
  <si>
    <t xml:space="preserve">4.4 mL AM &amp; PM  (440 mg/d)</t>
  </si>
  <si>
    <t xml:space="preserve">4.6 mL AM &amp; PM  (460 mg/d)</t>
  </si>
  <si>
    <t xml:space="preserve">9 mL AM &amp; PM  (900 mg/d)</t>
  </si>
  <si>
    <t xml:space="preserve">4.9 mL AM &amp; PM  (490 mg/d)</t>
  </si>
  <si>
    <t xml:space="preserve">Capsules  (250 mg)</t>
  </si>
  <si>
    <t xml:space="preserve">2 × 250 mg AM &amp; PM</t>
  </si>
  <si>
    <t xml:space="preserve">Valproic acid — Initiation titration by weight</t>
  </si>
  <si>
    <t xml:space="preserve">Titrate weekly 10 → 15 → 20 → 25 → 30 mg/kg/day; 30 mg/kg (Week 5) is the maintenance floor and the dose target.</t>
  </si>
  <si>
    <t xml:space="preserve">Optimal window is 10% below to 30% above the Week 5 target mg/kg; amber marks a band outside it.</t>
  </si>
  <si>
    <t xml:space="preserve">Oral solution 50 mg/mL (even AM/PM, half mL under 5 mL). Immediate-release tablets 125 / 250 / 500 mg (whole); doses with no clean tablet amount use the solution. Extended-release tablets exist for once-daily maintenance.</t>
  </si>
  <si>
    <t xml:space="preserve">Weight-dosed to 50 kg; from 50 kg the dose holds at the 50 kg amount (adult). Maintenance range 30–60 mg/kg/day (max 3,000 mg/day).</t>
  </si>
  <si>
    <t xml:space="preserve">Week 3 · 20 mg/kg/day</t>
  </si>
  <si>
    <t xml:space="preserve">Week 4 · 25 mg/kg/day</t>
  </si>
  <si>
    <t xml:space="preserve">Week 5 · 30 mg/kg/day  (target)</t>
  </si>
  <si>
    <t xml:space="preserve">1.8 mL AM &amp; PM  (180 mg/d)</t>
  </si>
  <si>
    <t xml:space="preserve">3.5 mL AM &amp; PM  (350 mg/d)</t>
  </si>
  <si>
    <t xml:space="preserve">4.8 mL AM &amp; PM  (480 mg/d)</t>
  </si>
  <si>
    <t xml:space="preserve">2.7 mL AM &amp; PM  (270 mg/d)</t>
  </si>
  <si>
    <t xml:space="preserve">3.8 mL AM &amp; PM  (380 mg/d)</t>
  </si>
  <si>
    <t xml:space="preserve">10 mL AM &amp; PM  (1000 mg/d)</t>
  </si>
  <si>
    <t xml:space="preserve">11 mL AM &amp; PM  (1100 mg/d)</t>
  </si>
  <si>
    <t xml:space="preserve">12 mL AM &amp; PM  (1200 mg/d)</t>
  </si>
  <si>
    <t xml:space="preserve">13 mL AM &amp; PM  (1300 mg/d)</t>
  </si>
  <si>
    <t xml:space="preserve">14 mL AM &amp; PM  (1400 mg/d)</t>
  </si>
  <si>
    <t xml:space="preserve">IR tablets  (125 / 250 / 500 mg)</t>
  </si>
  <si>
    <t xml:space="preserve">1 × 125 mg once daily</t>
  </si>
  <si>
    <t xml:space="preserve">1 × 125 mg AM &amp; PM</t>
  </si>
  <si>
    <t xml:space="preserve">1 × 125 mg AM, 2 × 125 mg PM</t>
  </si>
  <si>
    <t xml:space="preserve">2 × 125 mg AM &amp; PM</t>
  </si>
  <si>
    <t xml:space="preserve">2 × 125 mg AM, 3 × 125 mg PM</t>
  </si>
  <si>
    <t xml:space="preserve">3 × 125 mg AM &amp; PM</t>
  </si>
  <si>
    <t xml:space="preserve">4 × 125 mg AM &amp; PM</t>
  </si>
  <si>
    <t xml:space="preserve">5 × 125 mg AM &amp; PM</t>
  </si>
  <si>
    <t xml:space="preserve">2 × 250 mg AM, 3 × 250 mg PM</t>
  </si>
  <si>
    <t xml:space="preserve">3 × 250 mg AM &amp; PM</t>
  </si>
  <si>
    <t xml:space="preserve">Zonisamide — Initiation titration by weight / age</t>
  </si>
  <si>
    <t xml:space="preserve">Children: dose by weight (mg/kg); adults (&gt;16 y) use the fixed schedule in the last row. The solution is given twice daily throughout; a small Week-1 tablet/capsule dose may be given once daily (shown in each cell).</t>
  </si>
  <si>
    <t xml:space="preserve">Columns are the weekly titration steps the tool defines (child steps 1 → 3.5 mg/kg/day); keep titrating toward the maintenance range in the last column.</t>
  </si>
  <si>
    <t xml:space="preserve">Only the final shown step is checked against the 10%-below / 30%-above window; amber marks a band outside it. Oral suspension 20 mg/mL (even AM/PM, half mL under 5 mL).</t>
  </si>
  <si>
    <t xml:space="preserve">Capsules 25 / 50 / 100 mg are not splittable, so weeks with no clean whole-capsule twice-daily amount show a dash — use the suspension.</t>
  </si>
  <si>
    <t xml:space="preserve">Oral suspension  (20 mg/mL)</t>
  </si>
  <si>
    <t xml:space="preserve">Week 7</t>
  </si>
  <si>
    <t xml:space="preserve">Week 8</t>
  </si>
  <si>
    <t xml:space="preserve">Week 9</t>
  </si>
  <si>
    <t xml:space="preserve">Week 10</t>
  </si>
  <si>
    <t xml:space="preserve">0.3 mL AM &amp; PM</t>
  </si>
  <si>
    <t xml:space="preserve">0.4 mL AM &amp; PM</t>
  </si>
  <si>
    <t xml:space="preserve">0.5 mL AM &amp; PM</t>
  </si>
  <si>
    <t xml:space="preserve">0.9 mL AM &amp; PM</t>
  </si>
  <si>
    <t xml:space="preserve">0.2 mL AM &amp; PM</t>
  </si>
  <si>
    <t xml:space="preserve">1.5 mL AM &amp; PM</t>
  </si>
  <si>
    <t xml:space="preserve">1.7 mL AM &amp; PM</t>
  </si>
  <si>
    <t xml:space="preserve">1.8 mL AM &amp; PM</t>
  </si>
  <si>
    <t xml:space="preserve">2.3 mL AM &amp; PM</t>
  </si>
  <si>
    <t xml:space="preserve">2.2 mL AM &amp; PM</t>
  </si>
  <si>
    <t xml:space="preserve">2.7 mL AM &amp; PM</t>
  </si>
  <si>
    <t xml:space="preserve">2 mL AM &amp; PM</t>
  </si>
  <si>
    <t xml:space="preserve">3 mL AM &amp; PM</t>
  </si>
  <si>
    <t xml:space="preserve">3.3 mL AM &amp; PM</t>
  </si>
  <si>
    <t xml:space="preserve">3.4 mL AM &amp; PM</t>
  </si>
  <si>
    <t xml:space="preserve">4.1 mL AM &amp; PM</t>
  </si>
  <si>
    <t xml:space="preserve">&gt; 16 years (adult)</t>
  </si>
  <si>
    <t xml:space="preserve">10 mL AM &amp; PM</t>
  </si>
  <si>
    <t xml:space="preserve">Capsules  (25 / 50 / 100 mg)</t>
  </si>
  <si>
    <t xml:space="preserve">1 × 25 mg once daily</t>
  </si>
  <si>
    <t xml:space="preserve">1 × 25 mg AM &amp; PM</t>
  </si>
  <si>
    <t xml:space="preserve">1 × 25 mg AM, 2 × 25 mg PM</t>
  </si>
  <si>
    <t xml:space="preserve">2 × 25 mg AM &amp; PM</t>
  </si>
  <si>
    <t xml:space="preserve">2 × 25 mg AM, 3 × 25 mg PM</t>
  </si>
  <si>
    <t xml:space="preserve">3 × 25 mg AM &amp; PM</t>
  </si>
  <si>
    <t xml:space="preserve">4 × 25 mg AM &amp; PM</t>
  </si>
  <si>
    <t xml:space="preserve">1 × 100 mg once daily</t>
  </si>
  <si>
    <t xml:space="preserve">1 × 100 mg AM &amp; PM</t>
  </si>
  <si>
    <t xml:space="preserve">1 × 100 mg AM, 2 × 100 mg PM</t>
  </si>
  <si>
    <t xml:space="preserve">2 × 100 mg AM &amp; PM</t>
  </si>
  <si>
    <t xml:space="preserve">Lacosamide — Initiation titration by weight</t>
  </si>
  <si>
    <t xml:space="preserve">Twice-daily throughout. Under 50 kg dose by weight (mg/kg); at 50 kg and above use the fixed adult schedule in the last row.</t>
  </si>
  <si>
    <t xml:space="preserve">Columns are weekly steps: 1.5, 3, 4.5, 6 mg/kg/day under 30 kg, and 1, 2, 3, 4 mg/kg/day for 30–50 kg. Both end at the bottom of the Lexicomp maintenance range. Continue toward the range in the last column if needed.</t>
  </si>
  <si>
    <t xml:space="preserve">Every band’s final step is checked against the 10%-below / 30%-above window. Oral solution 10 mg/mL, split evenly AM/PM, measured to 0.1 mL under 5 mL and 0.5 mL from 5 mL.</t>
  </si>
  <si>
    <t xml:space="preserve">Tablets 50 / 100 / 150 / 200 mg, whole or half; schedules end on whole tablets. Tablet steps may go up to the Lexicomp increment of 2 mg/kg/day, so they can differ from the solution. A dash means use the solution.</t>
  </si>
  <si>
    <t xml:space="preserve">6–8.5 kg</t>
  </si>
  <si>
    <t xml:space="preserve">8.5–11 kg</t>
  </si>
  <si>
    <t xml:space="preserve">4.4 mL AM &amp; PM</t>
  </si>
  <si>
    <t xml:space="preserve">18.5–21 kg</t>
  </si>
  <si>
    <t xml:space="preserve">4.5 mL AM &amp; PM</t>
  </si>
  <si>
    <t xml:space="preserve">21–23.5 kg</t>
  </si>
  <si>
    <t xml:space="preserve">6.5 mL AM &amp; PM</t>
  </si>
  <si>
    <t xml:space="preserve">23.5–26 kg</t>
  </si>
  <si>
    <t xml:space="preserve">3.7 mL AM &amp; PM</t>
  </si>
  <si>
    <t xml:space="preserve">5.5 mL AM &amp; PM</t>
  </si>
  <si>
    <t xml:space="preserve">26–28.5 kg</t>
  </si>
  <si>
    <t xml:space="preserve">8 mL AM &amp; PM</t>
  </si>
  <si>
    <t xml:space="preserve">28.5–30 kg</t>
  </si>
  <si>
    <t xml:space="preserve">8.5 mL AM &amp; PM</t>
  </si>
  <si>
    <t xml:space="preserve">3.1 mL AM &amp; PM</t>
  </si>
  <si>
    <t xml:space="preserve">4.6 mL AM &amp; PM</t>
  </si>
  <si>
    <t xml:space="preserve">9 mL AM &amp; PM</t>
  </si>
  <si>
    <t xml:space="preserve">4.9 mL AM &amp; PM</t>
  </si>
  <si>
    <t xml:space="preserve">9.5 mL AM &amp; PM</t>
  </si>
  <si>
    <t xml:space="preserve">Tablets  (50 / 100 / 150 / 200 mg)</t>
  </si>
  <si>
    <t xml:space="preserve">½ × 50 mg once daily</t>
  </si>
  <si>
    <t xml:space="preserve">½ × 50 mg AM &amp; PM</t>
  </si>
  <si>
    <t xml:space="preserve">½ × 50 mg AM, 1 × 50 mg PM</t>
  </si>
  <si>
    <t xml:space="preserve">1 × 50 mg AM &amp; PM</t>
  </si>
  <si>
    <t xml:space="preserve">1 × 50 mg AM, 1½ × 50 mg PM</t>
  </si>
  <si>
    <t xml:space="preserve">1 × 50 mg AM, 2 × 50 mg PM</t>
  </si>
  <si>
    <t xml:space="preserve">2 × 50 mg AM &amp; PM</t>
  </si>
  <si>
    <t xml:space="preserve">1 × 50 mg once daily</t>
  </si>
  <si>
    <t xml:space="preserve">Topiramate — Initiation titration by weight group</t>
  </si>
  <si>
    <t xml:space="preserve">Dosed by weight group with fixed milligram amounts (not mg/kg). Under 38 kg, week 1 is given once daily at night, then twice daily from week 2. Over 38 kg, doses are twice daily from week 1.</t>
  </si>
  <si>
    <t xml:space="preserve">Columns are the weekly titration steps; keep increasing weekly toward the maintenance range shown in the last column.</t>
  </si>
  <si>
    <t xml:space="preserve">Oral solution 25 mg/mL. Tablets and sprinkle capsules 15 / 25 / 50 / 100 / 200 mg (whole); a week with no clean twice-daily tablet amount shows a dash — use the solution or sprinkle capsules.</t>
  </si>
  <si>
    <t xml:space="preserve">Titrate slowly (weekly) to limit cognitive and tingling side effects. Extended-release once-daily capsules also exist.</t>
  </si>
  <si>
    <t xml:space="preserve">Oral solution  (25 mg/mL)</t>
  </si>
  <si>
    <t xml:space="preserve">≤ 11 kg</t>
  </si>
  <si>
    <t xml:space="preserve">1 mL once daily</t>
  </si>
  <si>
    <t xml:space="preserve">4 mL AM &amp; PM</t>
  </si>
  <si>
    <t xml:space="preserve">&gt; 38 kg</t>
  </si>
  <si>
    <t xml:space="preserve">Tablets / sprinkle capsules  (15 / 25 / 50 / 100 / 200 mg)</t>
  </si>
  <si>
    <t xml:space="preserve">2 × 50 mg AM, 3 × 50 mg PM</t>
  </si>
  <si>
    <t xml:space="preserve">Oxcarbazepine — Initiation titration by weight</t>
  </si>
  <si>
    <t xml:space="preserve">Under 20 kg dose by weight (mg/kg); at 20 kg and above use the fixed weight-group schedules. The suspension is given twice daily throughout; a Week-1 tablet dose may be given once daily (shown in each cell).</t>
  </si>
  <si>
    <t xml:space="preserve">Oral suspension 60 mg/mL, split evenly AM/PM and measured to 0.1 mL (whole mL at 5 mL and up). Tablets 150 / 300 / 600 mg, whole or half. Schedules always end on whole tablets. A dash means no tablet dose fits that week, so use the suspension.</t>
  </si>
  <si>
    <t xml:space="preserve">Every band’s final step is checked against the 10%-below / 30%-above window.</t>
  </si>
  <si>
    <t xml:space="preserve">Oral suspension  (60 mg/mL)</t>
  </si>
  <si>
    <t xml:space="preserve">7.5–60 mg/kg/day</t>
  </si>
  <si>
    <t xml:space="preserve">20–25 kg</t>
  </si>
  <si>
    <t xml:space="preserve">25–35 kg</t>
  </si>
  <si>
    <t xml:space="preserve">35–45 kg</t>
  </si>
  <si>
    <t xml:space="preserve">50–60 kg</t>
  </si>
  <si>
    <t xml:space="preserve">Tablets  (150 / 300 / 600 mg)</t>
  </si>
  <si>
    <t xml:space="preserve">½ × 150 mg once daily</t>
  </si>
  <si>
    <t xml:space="preserve">½ × 150 mg AM &amp; PM</t>
  </si>
  <si>
    <t xml:space="preserve">½ × 150 mg AM, 1 × 150 mg PM</t>
  </si>
  <si>
    <t xml:space="preserve">1 × 150 mg AM &amp; PM</t>
  </si>
  <si>
    <t xml:space="preserve">1 × 150 mg AM, 2 × 150 mg PM</t>
  </si>
  <si>
    <t xml:space="preserve">1 × 150 mg once daily</t>
  </si>
  <si>
    <t xml:space="preserve">2 × 150 mg AM &amp; PM</t>
  </si>
  <si>
    <t xml:space="preserve">2 × 150 mg AM, 3 × 150 mg PM</t>
  </si>
  <si>
    <t xml:space="preserve">3 × 150 mg AM &amp; PM</t>
  </si>
  <si>
    <t xml:space="preserve">1 × 300 mg once daily</t>
  </si>
  <si>
    <t xml:space="preserve">1 × 300 mg AM &amp; PM</t>
  </si>
  <si>
    <t xml:space="preserve">1 × 300 mg AM, 2 × 300 mg PM</t>
  </si>
  <si>
    <t xml:space="preserve">2 × 300 mg AM &amp; PM</t>
  </si>
  <si>
    <t xml:space="preserve">Lamotrigine — Initiation titration (slow; not on valproate or enzyme inducers)</t>
  </si>
  <si>
    <t xml:space="preserve">Titrate lamotrigine slowly. Rushing raises the risk of serious rash. This schedule is for patients not on valproate and not on enzyme-inducing drugs, which need different, lower dosing.</t>
  </si>
  <si>
    <t xml:space="preserve">Children dose by weight. Weeks 1–2: 0.3 mg/kg/day, once daily. Weeks 3–4: 0.6 mg/kg/day, twice daily. Then increase weekly by up to 0.6 mg/kg/day (no more than 25 mg/day) until about 4.5 mg/kg/day. Adolescents and adults: 25 mg/day for weeks 1–2, 50 mg/day for weeks 3–4, then 50 mg/day more each week to 250 mg/day.</t>
  </si>
  <si>
    <t xml:space="preserve">Suspension 10 mg/mL, measured to 0.1 mL under 5 mL and to 0.5 mL from 5 mL. Tablets may be halved, but every schedule ends on whole tablets. Many children start on 5 mg tablets and switch to 25 mg tablets once the dose allows, so they need both prescriptions.</t>
  </si>
  <si>
    <t xml:space="preserve">Every band’s final step is checked against the 10%-below / 30%-above window. Schedules run 8 to 14 weeks. After that, keep titrating toward the maintenance range in the last column.</t>
  </si>
  <si>
    <t xml:space="preserve">Oral suspension  (10 mg/mL, measured to 0.1 mL)</t>
  </si>
  <si>
    <t xml:space="preserve">Week 11</t>
  </si>
  <si>
    <t xml:space="preserve">Week 12</t>
  </si>
  <si>
    <t xml:space="preserve">Week 13</t>
  </si>
  <si>
    <t xml:space="preserve">Week 14</t>
  </si>
  <si>
    <t xml:space="preserve">0.3 mL once daily</t>
  </si>
  <si>
    <t xml:space="preserve">0.4 mL once daily</t>
  </si>
  <si>
    <t xml:space="preserve">0.5 mL once daily</t>
  </si>
  <si>
    <t xml:space="preserve">0.6 mL once daily</t>
  </si>
  <si>
    <t xml:space="preserve">0.7 mL once daily</t>
  </si>
  <si>
    <t xml:space="preserve">0.8 mL once daily</t>
  </si>
  <si>
    <t xml:space="preserve">0.9 mL once daily</t>
  </si>
  <si>
    <t xml:space="preserve">1.1 mL once daily</t>
  </si>
  <si>
    <t xml:space="preserve">1.2 mL once daily</t>
  </si>
  <si>
    <t xml:space="preserve">1.3 mL once daily</t>
  </si>
  <si>
    <t xml:space="preserve">12–16 y (adolescent)</t>
  </si>
  <si>
    <t xml:space="preserve">2.5 mL once daily</t>
  </si>
  <si>
    <t xml:space="preserve">12.5 mL AM &amp; PM</t>
  </si>
  <si>
    <t xml:space="preserve">&gt; 16 y (adult)</t>
  </si>
  <si>
    <t xml:space="preserve">Chewable / dispersible tablets  (5 / 25 / 50 / 100 mg)</t>
  </si>
  <si>
    <t xml:space="preserve">½ × 5 mg once daily</t>
  </si>
  <si>
    <t xml:space="preserve">½ × 5 mg AM &amp; PM</t>
  </si>
  <si>
    <t xml:space="preserve">1 × 5 mg AM &amp; PM</t>
  </si>
  <si>
    <t xml:space="preserve">1 × 5 mg AM, 2 × 5 mg PM</t>
  </si>
  <si>
    <t xml:space="preserve">2 × 5 mg AM &amp; PM</t>
  </si>
  <si>
    <t xml:space="preserve">2 × 5 mg AM, 3 × 5 mg PM</t>
  </si>
  <si>
    <t xml:space="preserve">3 × 5 mg AM &amp; PM</t>
  </si>
  <si>
    <t xml:space="preserve">3 × 5 mg AM, 4 × 5 mg PM</t>
  </si>
  <si>
    <t xml:space="preserve">4 × 5 mg AM &amp; PM</t>
  </si>
  <si>
    <t xml:space="preserve">4 × 5 mg AM, 5 × 5 mg PM</t>
  </si>
  <si>
    <t xml:space="preserve">½ × 5 mg AM, 1 × 5 mg PM</t>
  </si>
  <si>
    <t xml:space="preserve">2 × 5 mg AM, 2½ × 5 mg PM</t>
  </si>
  <si>
    <t xml:space="preserve">3½ × 5 mg AM, 4 × 5 mg PM</t>
  </si>
  <si>
    <t xml:space="preserve">5 × 5 mg AM, 5½ × 5 mg PM</t>
  </si>
  <si>
    <t xml:space="preserve">6 × 5 mg AM &amp; PM</t>
  </si>
  <si>
    <t xml:space="preserve">6½ × 5 mg AM, 7 × 5 mg PM</t>
  </si>
  <si>
    <t xml:space="preserve">1 × 5 mg once daily</t>
  </si>
  <si>
    <t xml:space="preserve">5 × 5 mg AM &amp; PM</t>
  </si>
  <si>
    <t xml:space="preserve">7 × 5 mg AM &amp; PM</t>
  </si>
  <si>
    <t xml:space="preserve">8 × 5 mg AM &amp; PM</t>
  </si>
  <si>
    <t xml:space="preserve">9 × 5 mg AM &amp; PM</t>
  </si>
  <si>
    <t xml:space="preserve">1 × 5 mg AM, 1½ × 5 mg PM</t>
  </si>
  <si>
    <t xml:space="preserve">½ × 25 mg AM &amp; PM</t>
  </si>
  <si>
    <t xml:space="preserve">½ × 25 mg AM, 1 × 25 mg PM</t>
  </si>
  <si>
    <t xml:space="preserve">1 × 25 mg AM, 1½ × 25 mg PM</t>
  </si>
  <si>
    <t xml:space="preserve">1½ × 25 mg AM, 2 × 25 mg PM</t>
  </si>
  <si>
    <t xml:space="preserve">1½ × 5 mg once daily</t>
  </si>
  <si>
    <t xml:space="preserve">2 × 25 mg AM, 2½ × 25 mg PM</t>
  </si>
  <si>
    <t xml:space="preserve">3 × 5 mg AM, 3½ × 5 mg PM</t>
  </si>
  <si>
    <t xml:space="preserve">1½ × 5 mg AM, 2 × 5 mg PM</t>
  </si>
  <si>
    <t xml:space="preserve">2½ × 25 mg AM, 3 × 25 mg PM</t>
  </si>
  <si>
    <t xml:space="preserve">2 × 5 mg once daily</t>
  </si>
  <si>
    <t xml:space="preserve">3 × 25 mg AM, 4 × 25 mg PM</t>
  </si>
  <si>
    <t xml:space="preserve">½ × 25 mg once daily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</si>
</sst>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0"/>
      <color rgb="FF4A2000"/>
      <name val="Arial"/>
      <family val="2"/>
      <charset val="1"/>
    </font>
    <font>
      <sz val="10"/>
      <name val="Arial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Segoe UI"/>
      <family val="2"/>
      <charset val="1"/>
    </font>
    <font>
      <sz val="10"/>
      <name val="Arial"/>
      <family val="2"/>
    </font>
    <font>
      <b val="true"/>
      <sz val="16"/>
      <color rgb="FF16202B"/>
      <name val="Calibri"/>
      <family val="0"/>
      <charset val="1"/>
    </font>
    <font>
      <i val="true"/>
      <sz val="10"/>
      <color rgb="FF58647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16202B"/>
      <name val="Calibri"/>
      <family val="0"/>
      <charset val="1"/>
    </font>
    <font>
      <sz val="11"/>
      <color rgb="FF9AA4AF"/>
      <name val="Calibri"/>
      <family val="0"/>
      <charset val="1"/>
    </font>
    <font>
      <b val="true"/>
      <sz val="15"/>
      <color rgb="FF16202B"/>
      <name val="Calibri"/>
      <family val="0"/>
      <charset val="1"/>
    </font>
    <font>
      <sz val="11"/>
      <color rgb="FF16202B"/>
      <name val="Calibri"/>
      <family val="0"/>
      <charset val="1"/>
    </font>
    <font>
      <b val="true"/>
      <sz val="11"/>
      <color rgb="FF9AA4AF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12867A"/>
      </patternFill>
    </fill>
    <fill>
      <patternFill patternType="solid">
        <fgColor rgb="FF7F3F00"/>
        <bgColor rgb="FF4A2000"/>
      </patternFill>
    </fill>
    <fill>
      <patternFill patternType="solid">
        <fgColor rgb="FFDDEEFF"/>
        <bgColor rgb="FFEBF1DE"/>
      </patternFill>
    </fill>
    <fill>
      <patternFill patternType="solid">
        <fgColor rgb="FFFFFFFF"/>
        <bgColor rgb="FFF5F7F8"/>
      </patternFill>
    </fill>
    <fill>
      <patternFill patternType="solid">
        <fgColor theme="6" tint="0.7999"/>
        <bgColor rgb="FFFBECD6"/>
      </patternFill>
    </fill>
    <fill>
      <patternFill patternType="solid">
        <fgColor rgb="FF12867A"/>
        <bgColor rgb="FF339966"/>
      </patternFill>
    </fill>
    <fill>
      <patternFill patternType="solid">
        <fgColor rgb="FF0A4840"/>
        <bgColor rgb="FF0D5A51"/>
      </patternFill>
    </fill>
    <fill>
      <patternFill patternType="solid">
        <fgColor rgb="FF0D5A51"/>
        <bgColor rgb="FF0A4840"/>
      </patternFill>
    </fill>
    <fill>
      <patternFill patternType="solid">
        <fgColor rgb="FFF5F7F8"/>
        <bgColor rgb="FFFFFFFF"/>
      </patternFill>
    </fill>
    <fill>
      <patternFill patternType="solid">
        <fgColor rgb="FFFBECD6"/>
        <bgColor rgb="FFEBF1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AE1"/>
      </left>
      <right style="thin">
        <color rgb="FFD3DAE1"/>
      </right>
      <top style="thin">
        <color rgb="FFD3DAE1"/>
      </top>
      <bottom style="thin">
        <color rgb="FFD3DA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867A"/>
      <rgbColor rgb="FFC0C0C0"/>
      <rgbColor rgb="FF808080"/>
      <rgbColor rgb="FF9999FF"/>
      <rgbColor rgb="FF993366"/>
      <rgbColor rgb="FFFBECD6"/>
      <rgbColor rgb="FFDDEEFF"/>
      <rgbColor rgb="FF660066"/>
      <rgbColor rgb="FFFF8080"/>
      <rgbColor rgb="FF0066CC"/>
      <rgbColor rgb="FFD3DAE1"/>
      <rgbColor rgb="FF000080"/>
      <rgbColor rgb="FFFF00FF"/>
      <rgbColor rgb="FFFFFF00"/>
      <rgbColor rgb="FF00FFFF"/>
      <rgbColor rgb="FF800080"/>
      <rgbColor rgb="FF800000"/>
      <rgbColor rgb="FF0D5A51"/>
      <rgbColor rgb="FF0000FF"/>
      <rgbColor rgb="FF00CCFF"/>
      <rgbColor rgb="FFF5F7F8"/>
      <rgbColor rgb="FFEBF1D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86472"/>
      <rgbColor rgb="FF9AA4AF"/>
      <rgbColor rgb="FF0A4840"/>
      <rgbColor rgb="FF339966"/>
      <rgbColor rgb="FF003300"/>
      <rgbColor rgb="FF4A2000"/>
      <rgbColor rgb="FF7F3F00"/>
      <rgbColor rgb="FF993366"/>
      <rgbColor rgb="FF333399"/>
      <rgbColor rgb="FF1620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48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pane xSplit="1" ySplit="0" topLeftCell="AO21" activePane="topRight" state="frozen"/>
      <selection pane="topLeft" activeCell="A21" activeCellId="0" sqref="A21"/>
      <selection pane="topRight" activeCell="BA36" activeCellId="0" sqref="BA3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.42"/>
    <col collapsed="false" customWidth="true" hidden="false" outlineLevel="0" max="3" min="3" style="2" width="10"/>
    <col collapsed="false" customWidth="true" hidden="false" outlineLevel="0" max="5" min="4" style="3" width="15.42"/>
    <col collapsed="false" customWidth="true" hidden="false" outlineLevel="0" max="6" min="6" style="3" width="17.57"/>
    <col collapsed="false" customWidth="true" hidden="false" outlineLevel="0" max="10" min="7" style="3" width="15.42"/>
    <col collapsed="false" customWidth="true" hidden="false" outlineLevel="0" max="11" min="11" style="3" width="10.71"/>
    <col collapsed="false" customWidth="true" hidden="false" outlineLevel="0" max="12" min="12" style="3" width="9.14"/>
    <col collapsed="false" customWidth="true" hidden="false" outlineLevel="0" max="13" min="13" style="4" width="9.14"/>
    <col collapsed="false" customWidth="true" hidden="false" outlineLevel="0" max="14" min="14" style="3" width="11.57"/>
    <col collapsed="false" customWidth="true" hidden="false" outlineLevel="0" max="17" min="15" style="3" width="9.14"/>
    <col collapsed="false" customWidth="true" hidden="false" outlineLevel="0" max="18" min="18" style="3" width="15.42"/>
    <col collapsed="false" customWidth="true" hidden="false" outlineLevel="0" max="26" min="19" style="3" width="16"/>
    <col collapsed="false" customWidth="true" hidden="false" outlineLevel="0" max="27" min="27" style="3" width="13.15"/>
    <col collapsed="false" customWidth="true" hidden="false" outlineLevel="0" max="30" min="28" style="3" width="15"/>
    <col collapsed="false" customWidth="true" hidden="false" outlineLevel="0" max="31" min="31" style="3" width="14"/>
    <col collapsed="false" customWidth="true" hidden="false" outlineLevel="0" max="32" min="32" style="3" width="15"/>
    <col collapsed="false" customWidth="true" hidden="false" outlineLevel="0" max="33" min="33" style="3" width="12.29"/>
    <col collapsed="false" customWidth="true" hidden="false" outlineLevel="0" max="34" min="34" style="3" width="15"/>
    <col collapsed="false" customWidth="true" hidden="false" outlineLevel="0" max="36" min="35" style="3" width="11.71"/>
    <col collapsed="false" customWidth="true" hidden="false" outlineLevel="0" max="37" min="37" style="3" width="17.57"/>
    <col collapsed="false" customWidth="true" hidden="false" outlineLevel="0" max="38" min="38" style="3" width="9.14"/>
    <col collapsed="false" customWidth="true" hidden="false" outlineLevel="0" max="39" min="39" style="3" width="20.71"/>
    <col collapsed="false" customWidth="true" hidden="false" outlineLevel="0" max="40" min="40" style="3" width="39.85"/>
    <col collapsed="false" customWidth="true" hidden="false" outlineLevel="0" max="41" min="41" style="3" width="41.86"/>
    <col collapsed="false" customWidth="true" hidden="false" outlineLevel="0" max="43" min="42" style="3" width="9.14"/>
    <col collapsed="false" customWidth="true" hidden="false" outlineLevel="0" max="44" min="44" style="3" width="15.42"/>
    <col collapsed="false" customWidth="true" hidden="false" outlineLevel="0" max="45" min="45" style="3" width="17.57"/>
    <col collapsed="false" customWidth="true" hidden="false" outlineLevel="0" max="46" min="46" style="3" width="9.14"/>
    <col collapsed="false" customWidth="true" hidden="true" outlineLevel="0" max="47" min="47" style="3" width="20.71"/>
    <col collapsed="false" customWidth="true" hidden="true" outlineLevel="0" max="48" min="48" style="3" width="39.85"/>
    <col collapsed="false" customWidth="true" hidden="true" outlineLevel="0" max="49" min="49" style="3" width="41.86"/>
    <col collapsed="false" customWidth="true" hidden="false" outlineLevel="0" max="51" min="50" style="3" width="14"/>
    <col collapsed="false" customWidth="true" hidden="false" outlineLevel="0" max="52" min="52" style="3" width="14.29"/>
    <col collapsed="false" customWidth="true" hidden="false" outlineLevel="0" max="53" min="53" style="3" width="12.71"/>
    <col collapsed="false" customWidth="true" hidden="false" outlineLevel="0" max="54" min="54" style="3" width="14"/>
    <col collapsed="false" customWidth="true" hidden="false" outlineLevel="0" max="55" min="55" style="1" width="15.42"/>
    <col collapsed="false" customWidth="true" hidden="false" outlineLevel="0" max="60" min="56" style="1" width="10.85"/>
    <col collapsed="false" customWidth="true" hidden="false" outlineLevel="0" max="61" min="61" style="1" width="17.57"/>
  </cols>
  <sheetData>
    <row r="1" s="11" customFormat="true" ht="45" hidden="false" customHeight="true" outlineLevel="0" collapsed="false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9" t="s">
        <v>15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7" t="s">
        <v>3</v>
      </c>
      <c r="AS1" s="7" t="s">
        <v>5</v>
      </c>
      <c r="AT1" s="9" t="s">
        <v>16</v>
      </c>
      <c r="AU1" s="3" t="s">
        <v>42</v>
      </c>
      <c r="AV1" s="3" t="s">
        <v>43</v>
      </c>
      <c r="AW1" s="3" t="s">
        <v>44</v>
      </c>
      <c r="AX1" s="10" t="s">
        <v>45</v>
      </c>
      <c r="AY1" s="10" t="s">
        <v>46</v>
      </c>
      <c r="AZ1" s="10" t="s">
        <v>47</v>
      </c>
      <c r="BA1" s="10" t="s">
        <v>48</v>
      </c>
      <c r="BB1" s="10" t="s">
        <v>49</v>
      </c>
      <c r="BC1" s="10" t="s">
        <v>50</v>
      </c>
      <c r="BD1" s="10" t="s">
        <v>51</v>
      </c>
      <c r="BE1" s="10" t="s">
        <v>52</v>
      </c>
      <c r="BF1" s="10" t="s">
        <v>53</v>
      </c>
      <c r="BG1" s="10" t="s">
        <v>54</v>
      </c>
      <c r="BH1" s="10" t="s">
        <v>55</v>
      </c>
      <c r="BI1" s="10"/>
    </row>
    <row r="2" customFormat="false" ht="45" hidden="false" customHeight="true" outlineLevel="0" collapsed="false">
      <c r="A2" s="12" t="s">
        <v>56</v>
      </c>
      <c r="B2" s="12" t="s">
        <v>57</v>
      </c>
      <c r="C2" s="13" t="n">
        <v>2</v>
      </c>
      <c r="D2" s="14" t="s">
        <v>58</v>
      </c>
      <c r="E2" s="14" t="s">
        <v>59</v>
      </c>
      <c r="F2" s="14" t="s">
        <v>60</v>
      </c>
      <c r="G2" s="14" t="s">
        <v>61</v>
      </c>
      <c r="H2" s="14" t="s">
        <v>58</v>
      </c>
      <c r="I2" s="14" t="s">
        <v>62</v>
      </c>
      <c r="J2" s="14" t="s">
        <v>59</v>
      </c>
      <c r="K2" s="15" t="n">
        <v>30</v>
      </c>
      <c r="L2" s="3" t="n">
        <v>6</v>
      </c>
      <c r="M2" s="16" t="n">
        <v>5</v>
      </c>
      <c r="N2" s="3" t="n">
        <v>100</v>
      </c>
      <c r="O2" s="3" t="n">
        <f aca="false">N2*0.01*K2</f>
        <v>30</v>
      </c>
      <c r="P2" s="3" t="n">
        <v>30</v>
      </c>
      <c r="Q2" s="3" t="n">
        <v>60</v>
      </c>
      <c r="R2" s="14"/>
      <c r="Y2" s="3" t="s">
        <v>58</v>
      </c>
      <c r="Z2" s="3" t="s">
        <v>63</v>
      </c>
      <c r="AA2" s="17" t="s">
        <v>64</v>
      </c>
      <c r="AB2" s="17" t="s">
        <v>65</v>
      </c>
      <c r="AC2" s="17" t="s">
        <v>66</v>
      </c>
      <c r="AD2" s="17" t="s">
        <v>67</v>
      </c>
      <c r="AE2" s="17" t="s">
        <v>68</v>
      </c>
      <c r="AF2" s="17" t="s">
        <v>69</v>
      </c>
      <c r="AG2" s="17" t="s">
        <v>70</v>
      </c>
      <c r="AH2" s="18"/>
      <c r="AI2" s="18"/>
      <c r="AJ2" s="18"/>
      <c r="AR2" s="14" t="s">
        <v>58</v>
      </c>
      <c r="AS2" s="14" t="s">
        <v>60</v>
      </c>
      <c r="AT2" s="3" t="n">
        <v>60</v>
      </c>
      <c r="AU2" s="3" t="s">
        <v>71</v>
      </c>
      <c r="AV2" s="3" t="s">
        <v>72</v>
      </c>
      <c r="AW2" s="3" t="s">
        <v>73</v>
      </c>
      <c r="AX2" s="3" t="s">
        <v>58</v>
      </c>
      <c r="AY2" s="3" t="n">
        <v>2</v>
      </c>
      <c r="AZ2" s="3" t="s">
        <v>63</v>
      </c>
      <c r="BA2" s="3" t="n">
        <v>2</v>
      </c>
      <c r="BB2" s="1" t="s">
        <v>64</v>
      </c>
      <c r="BI2" s="1" t="s">
        <v>74</v>
      </c>
    </row>
    <row r="3" customFormat="false" ht="18.75" hidden="false" customHeight="true" outlineLevel="0" collapsed="false">
      <c r="A3" s="19" t="s">
        <v>75</v>
      </c>
      <c r="B3" s="19" t="s">
        <v>76</v>
      </c>
      <c r="C3" s="20" t="n">
        <v>2</v>
      </c>
      <c r="D3" s="21" t="s">
        <v>77</v>
      </c>
      <c r="E3" s="21" t="s">
        <v>78</v>
      </c>
      <c r="F3" s="21" t="s">
        <v>79</v>
      </c>
      <c r="G3" s="21" t="s">
        <v>80</v>
      </c>
      <c r="H3" s="21" t="s">
        <v>81</v>
      </c>
      <c r="I3" s="21" t="s">
        <v>62</v>
      </c>
      <c r="J3" s="21" t="s">
        <v>82</v>
      </c>
      <c r="K3" s="15" t="n">
        <v>3</v>
      </c>
      <c r="L3" s="3" t="n">
        <v>2</v>
      </c>
      <c r="M3" s="16" t="n">
        <v>1.5</v>
      </c>
      <c r="N3" s="3" t="n">
        <v>100</v>
      </c>
      <c r="O3" s="3" t="n">
        <f aca="false">N3*0.01*K3</f>
        <v>3</v>
      </c>
      <c r="P3" s="3" t="n">
        <v>3</v>
      </c>
      <c r="Q3" s="3" t="n">
        <v>6</v>
      </c>
      <c r="R3" s="21"/>
      <c r="AA3" s="22" t="s">
        <v>77</v>
      </c>
      <c r="AB3" s="23" t="s">
        <v>83</v>
      </c>
      <c r="AC3" s="23" t="s">
        <v>84</v>
      </c>
      <c r="AD3" s="22"/>
      <c r="AE3" s="22"/>
      <c r="AF3" s="22"/>
      <c r="AG3" s="22"/>
      <c r="AH3" s="22"/>
      <c r="AI3" s="22"/>
      <c r="AJ3" s="22"/>
      <c r="AR3" s="21" t="s">
        <v>77</v>
      </c>
      <c r="AS3" s="21" t="s">
        <v>79</v>
      </c>
      <c r="AT3" s="3" t="n">
        <v>6</v>
      </c>
      <c r="AU3" s="3" t="s">
        <v>85</v>
      </c>
      <c r="AV3" s="3" t="s">
        <v>86</v>
      </c>
      <c r="AX3" s="24" t="s">
        <v>77</v>
      </c>
      <c r="AY3" s="3" t="n">
        <v>2</v>
      </c>
      <c r="BA3" s="3" t="n">
        <v>2</v>
      </c>
    </row>
    <row r="4" customFormat="false" ht="15.75" hidden="false" customHeight="true" outlineLevel="0" collapsed="false">
      <c r="A4" s="19" t="s">
        <v>75</v>
      </c>
      <c r="B4" s="19" t="s">
        <v>87</v>
      </c>
      <c r="C4" s="20" t="n">
        <v>2</v>
      </c>
      <c r="D4" s="21" t="s">
        <v>88</v>
      </c>
      <c r="E4" s="21" t="s">
        <v>78</v>
      </c>
      <c r="F4" s="21" t="s">
        <v>89</v>
      </c>
      <c r="G4" s="21" t="s">
        <v>80</v>
      </c>
      <c r="H4" s="21" t="s">
        <v>90</v>
      </c>
      <c r="I4" s="21" t="s">
        <v>62</v>
      </c>
      <c r="J4" s="21" t="s">
        <v>82</v>
      </c>
      <c r="K4" s="15" t="n">
        <v>2.5</v>
      </c>
      <c r="L4" s="3" t="n">
        <v>2</v>
      </c>
      <c r="M4" s="16" t="n">
        <v>1.25</v>
      </c>
      <c r="N4" s="3" t="n">
        <v>100</v>
      </c>
      <c r="O4" s="3" t="n">
        <f aca="false">N4*0.01*K4</f>
        <v>2.5</v>
      </c>
      <c r="P4" s="3" t="n">
        <v>2.5</v>
      </c>
      <c r="Q4" s="3" t="n">
        <v>5</v>
      </c>
      <c r="R4" s="21"/>
      <c r="AA4" s="22" t="s">
        <v>88</v>
      </c>
      <c r="AB4" s="23" t="s">
        <v>91</v>
      </c>
      <c r="AC4" s="23" t="s">
        <v>92</v>
      </c>
      <c r="AD4" s="22"/>
      <c r="AE4" s="22"/>
      <c r="AF4" s="22"/>
      <c r="AG4" s="22"/>
      <c r="AH4" s="22"/>
      <c r="AI4" s="22"/>
      <c r="AJ4" s="22"/>
      <c r="AR4" s="21" t="s">
        <v>88</v>
      </c>
      <c r="AS4" s="21" t="s">
        <v>89</v>
      </c>
      <c r="AT4" s="3" t="n">
        <v>5</v>
      </c>
      <c r="AU4" s="3" t="s">
        <v>85</v>
      </c>
      <c r="AV4" s="3" t="s">
        <v>86</v>
      </c>
      <c r="AX4" s="24" t="s">
        <v>88</v>
      </c>
      <c r="AY4" s="3" t="n">
        <v>2</v>
      </c>
      <c r="BA4" s="3" t="n">
        <v>2</v>
      </c>
    </row>
    <row r="5" customFormat="false" ht="15" hidden="false" customHeight="true" outlineLevel="0" collapsed="false">
      <c r="A5" s="19" t="s">
        <v>75</v>
      </c>
      <c r="B5" s="19" t="s">
        <v>93</v>
      </c>
      <c r="C5" s="20" t="n">
        <v>2</v>
      </c>
      <c r="D5" s="21" t="s">
        <v>94</v>
      </c>
      <c r="E5" s="21" t="s">
        <v>78</v>
      </c>
      <c r="F5" s="21" t="s">
        <v>95</v>
      </c>
      <c r="G5" s="21" t="s">
        <v>80</v>
      </c>
      <c r="H5" s="21" t="s">
        <v>96</v>
      </c>
      <c r="I5" s="21" t="s">
        <v>62</v>
      </c>
      <c r="J5" s="21" t="s">
        <v>78</v>
      </c>
      <c r="K5" s="15" t="n">
        <v>2</v>
      </c>
      <c r="L5" s="3" t="n">
        <v>2</v>
      </c>
      <c r="M5" s="16" t="n">
        <v>1</v>
      </c>
      <c r="N5" s="3" t="n">
        <v>100</v>
      </c>
      <c r="O5" s="3" t="n">
        <f aca="false">N5*0.01*K5</f>
        <v>2</v>
      </c>
      <c r="P5" s="3" t="n">
        <v>2</v>
      </c>
      <c r="Q5" s="3" t="n">
        <v>4</v>
      </c>
      <c r="R5" s="21"/>
      <c r="AA5" s="22" t="s">
        <v>94</v>
      </c>
      <c r="AB5" s="23" t="s">
        <v>77</v>
      </c>
      <c r="AC5" s="23" t="s">
        <v>97</v>
      </c>
      <c r="AD5" s="22"/>
      <c r="AE5" s="22"/>
      <c r="AF5" s="22"/>
      <c r="AG5" s="22"/>
      <c r="AH5" s="22"/>
      <c r="AI5" s="22"/>
      <c r="AJ5" s="22"/>
      <c r="AR5" s="21" t="s">
        <v>94</v>
      </c>
      <c r="AS5" s="21" t="s">
        <v>95</v>
      </c>
      <c r="AT5" s="3" t="n">
        <v>4</v>
      </c>
      <c r="AU5" s="3" t="s">
        <v>85</v>
      </c>
      <c r="AV5" s="3" t="s">
        <v>86</v>
      </c>
      <c r="AX5" s="24" t="s">
        <v>94</v>
      </c>
      <c r="AY5" s="3" t="n">
        <v>2</v>
      </c>
      <c r="BA5" s="3" t="n">
        <v>2</v>
      </c>
    </row>
    <row r="6" customFormat="false" ht="15" hidden="false" customHeight="true" outlineLevel="0" collapsed="false">
      <c r="A6" s="19" t="s">
        <v>75</v>
      </c>
      <c r="B6" s="19" t="s">
        <v>98</v>
      </c>
      <c r="C6" s="20" t="n">
        <v>2</v>
      </c>
      <c r="D6" s="21" t="s">
        <v>99</v>
      </c>
      <c r="E6" s="21" t="s">
        <v>78</v>
      </c>
      <c r="F6" s="21" t="s">
        <v>100</v>
      </c>
      <c r="G6" s="21" t="s">
        <v>80</v>
      </c>
      <c r="H6" s="21" t="s">
        <v>101</v>
      </c>
      <c r="I6" s="21" t="s">
        <v>62</v>
      </c>
      <c r="J6" s="21" t="s">
        <v>78</v>
      </c>
      <c r="K6" s="15" t="n">
        <v>150</v>
      </c>
      <c r="L6" s="3" t="n">
        <v>3</v>
      </c>
      <c r="M6" s="16" t="n">
        <v>50</v>
      </c>
      <c r="N6" s="3" t="n">
        <v>100</v>
      </c>
      <c r="O6" s="3" t="n">
        <f aca="false">N6*0.01*K6</f>
        <v>150</v>
      </c>
      <c r="P6" s="3" t="n">
        <v>50</v>
      </c>
      <c r="Q6" s="3" t="n">
        <v>200</v>
      </c>
      <c r="R6" s="21"/>
      <c r="AA6" s="22" t="s">
        <v>101</v>
      </c>
      <c r="AB6" s="23" t="s">
        <v>99</v>
      </c>
      <c r="AC6" s="23" t="s">
        <v>102</v>
      </c>
      <c r="AD6" s="23" t="s">
        <v>103</v>
      </c>
      <c r="AE6" s="22"/>
      <c r="AF6" s="22"/>
      <c r="AG6" s="22"/>
      <c r="AH6" s="22"/>
      <c r="AI6" s="22"/>
      <c r="AJ6" s="22"/>
      <c r="AR6" s="21" t="s">
        <v>99</v>
      </c>
      <c r="AS6" s="21" t="s">
        <v>100</v>
      </c>
      <c r="AT6" s="3" t="n">
        <v>200</v>
      </c>
      <c r="AU6" s="3" t="s">
        <v>85</v>
      </c>
      <c r="AV6" s="3" t="s">
        <v>86</v>
      </c>
      <c r="AX6" s="24" t="s">
        <v>99</v>
      </c>
      <c r="AY6" s="3" t="n">
        <v>2</v>
      </c>
      <c r="BA6" s="3" t="n">
        <v>2</v>
      </c>
    </row>
    <row r="7" customFormat="false" ht="15.75" hidden="false" customHeight="true" outlineLevel="0" collapsed="false">
      <c r="A7" s="12" t="s">
        <v>104</v>
      </c>
      <c r="B7" s="12" t="s">
        <v>105</v>
      </c>
      <c r="C7" s="13" t="n">
        <v>3</v>
      </c>
      <c r="D7" s="14" t="s">
        <v>58</v>
      </c>
      <c r="E7" s="14" t="s">
        <v>80</v>
      </c>
      <c r="F7" s="14" t="s">
        <v>106</v>
      </c>
      <c r="G7" s="14" t="s">
        <v>107</v>
      </c>
      <c r="H7" s="14" t="s">
        <v>58</v>
      </c>
      <c r="I7" s="14" t="s">
        <v>62</v>
      </c>
      <c r="J7" s="14" t="s">
        <v>108</v>
      </c>
      <c r="K7" s="15" t="n">
        <v>25</v>
      </c>
      <c r="L7" s="3" t="n">
        <v>5</v>
      </c>
      <c r="M7" s="16" t="n">
        <v>5</v>
      </c>
      <c r="N7" s="3" t="n">
        <v>75</v>
      </c>
      <c r="O7" s="3" t="n">
        <f aca="false">N7*0.01*K7</f>
        <v>18.75</v>
      </c>
      <c r="P7" s="3" t="n">
        <v>10</v>
      </c>
      <c r="Q7" s="3" t="n">
        <v>26.25</v>
      </c>
      <c r="R7" s="14"/>
      <c r="AA7" s="18" t="s">
        <v>58</v>
      </c>
      <c r="AB7" s="17" t="s">
        <v>109</v>
      </c>
      <c r="AC7" s="17" t="s">
        <v>63</v>
      </c>
      <c r="AD7" s="17" t="s">
        <v>110</v>
      </c>
      <c r="AE7" s="17"/>
      <c r="AF7" s="18"/>
      <c r="AG7" s="18"/>
      <c r="AH7" s="18"/>
      <c r="AI7" s="18"/>
      <c r="AJ7" s="18"/>
      <c r="AK7" s="3" t="s">
        <v>64</v>
      </c>
      <c r="AL7" s="3" t="s">
        <v>65</v>
      </c>
      <c r="AR7" s="14" t="s">
        <v>58</v>
      </c>
      <c r="AS7" s="14" t="s">
        <v>106</v>
      </c>
      <c r="AT7" s="3" t="n">
        <v>26.25</v>
      </c>
      <c r="AU7" s="3" t="s">
        <v>111</v>
      </c>
      <c r="AV7" s="3" t="s">
        <v>112</v>
      </c>
      <c r="AW7" s="3" t="s">
        <v>113</v>
      </c>
      <c r="AX7" s="24" t="s">
        <v>114</v>
      </c>
      <c r="AY7" s="24"/>
    </row>
    <row r="8" customFormat="false" ht="15.75" hidden="false" customHeight="true" outlineLevel="0" collapsed="false">
      <c r="A8" s="12" t="s">
        <v>104</v>
      </c>
      <c r="B8" s="12" t="s">
        <v>115</v>
      </c>
      <c r="C8" s="13" t="n">
        <v>3</v>
      </c>
      <c r="D8" s="14" t="s">
        <v>103</v>
      </c>
      <c r="E8" s="14" t="s">
        <v>80</v>
      </c>
      <c r="F8" s="14" t="s">
        <v>116</v>
      </c>
      <c r="G8" s="14" t="s">
        <v>107</v>
      </c>
      <c r="H8" s="14" t="s">
        <v>99</v>
      </c>
      <c r="I8" s="14" t="s">
        <v>62</v>
      </c>
      <c r="J8" s="14" t="s">
        <v>108</v>
      </c>
      <c r="K8" s="15" t="n">
        <v>400</v>
      </c>
      <c r="L8" s="3" t="n">
        <v>4</v>
      </c>
      <c r="M8" s="16" t="n">
        <v>100</v>
      </c>
      <c r="N8" s="3" t="n">
        <v>75</v>
      </c>
      <c r="O8" s="3" t="n">
        <f aca="false">N8*0.01*K8</f>
        <v>300</v>
      </c>
      <c r="P8" s="3" t="n">
        <v>400</v>
      </c>
      <c r="Q8" s="3" t="n">
        <v>600</v>
      </c>
      <c r="R8" s="14"/>
      <c r="Y8" s="3" t="s">
        <v>103</v>
      </c>
      <c r="Z8" s="3" t="s">
        <v>117</v>
      </c>
      <c r="AA8" s="18" t="s">
        <v>118</v>
      </c>
      <c r="AB8" s="17" t="s">
        <v>119</v>
      </c>
      <c r="AC8" s="17" t="s">
        <v>120</v>
      </c>
      <c r="AD8" s="18"/>
      <c r="AE8" s="18"/>
      <c r="AF8" s="18"/>
      <c r="AG8" s="18"/>
      <c r="AH8" s="18"/>
      <c r="AI8" s="18"/>
      <c r="AJ8" s="18"/>
      <c r="AK8" s="3" t="s">
        <v>121</v>
      </c>
      <c r="AL8" s="3" t="s">
        <v>122</v>
      </c>
      <c r="AR8" s="14" t="s">
        <v>103</v>
      </c>
      <c r="AS8" s="14" t="s">
        <v>116</v>
      </c>
      <c r="AT8" s="3" t="n">
        <v>600</v>
      </c>
      <c r="AU8" s="3" t="s">
        <v>111</v>
      </c>
      <c r="AV8" s="3" t="s">
        <v>112</v>
      </c>
      <c r="AW8" s="3" t="s">
        <v>113</v>
      </c>
      <c r="AX8" s="24" t="s">
        <v>114</v>
      </c>
      <c r="AY8" s="24"/>
    </row>
    <row r="9" customFormat="false" ht="30" hidden="false" customHeight="true" outlineLevel="0" collapsed="false">
      <c r="A9" s="12" t="s">
        <v>104</v>
      </c>
      <c r="B9" s="12" t="s">
        <v>123</v>
      </c>
      <c r="C9" s="13" t="n">
        <v>3</v>
      </c>
      <c r="D9" s="14" t="s">
        <v>118</v>
      </c>
      <c r="E9" s="14" t="s">
        <v>124</v>
      </c>
      <c r="F9" s="14" t="s">
        <v>125</v>
      </c>
      <c r="G9" s="14" t="s">
        <v>126</v>
      </c>
      <c r="H9" s="14" t="s">
        <v>103</v>
      </c>
      <c r="I9" s="14" t="s">
        <v>62</v>
      </c>
      <c r="J9" s="14" t="s">
        <v>80</v>
      </c>
      <c r="K9" s="15" t="n">
        <v>400</v>
      </c>
      <c r="L9" s="3" t="n">
        <v>4</v>
      </c>
      <c r="M9" s="16" t="n">
        <v>100</v>
      </c>
      <c r="N9" s="3" t="n">
        <v>75</v>
      </c>
      <c r="O9" s="3" t="n">
        <f aca="false">N9*0.01*K9</f>
        <v>300</v>
      </c>
      <c r="P9" s="3" t="n">
        <v>800</v>
      </c>
      <c r="Q9" s="3" t="n">
        <v>900</v>
      </c>
      <c r="R9" s="14"/>
      <c r="W9" s="4" t="s">
        <v>118</v>
      </c>
      <c r="X9" s="4" t="s">
        <v>119</v>
      </c>
      <c r="Y9" s="4" t="s">
        <v>120</v>
      </c>
      <c r="Z9" s="4" t="s">
        <v>121</v>
      </c>
      <c r="AA9" s="18" t="s">
        <v>122</v>
      </c>
      <c r="AB9" s="17" t="s">
        <v>127</v>
      </c>
      <c r="AC9" s="17"/>
      <c r="AD9" s="18"/>
      <c r="AE9" s="18"/>
      <c r="AF9" s="18"/>
      <c r="AG9" s="18"/>
      <c r="AH9" s="18"/>
      <c r="AI9" s="18"/>
      <c r="AJ9" s="18"/>
      <c r="AK9" s="3" t="s">
        <v>128</v>
      </c>
      <c r="AL9" s="3" t="s">
        <v>129</v>
      </c>
      <c r="AM9" s="3" t="s">
        <v>130</v>
      </c>
      <c r="AR9" s="14" t="s">
        <v>118</v>
      </c>
      <c r="AS9" s="14" t="s">
        <v>125</v>
      </c>
      <c r="AT9" s="3" t="n">
        <v>900</v>
      </c>
      <c r="AU9" s="3" t="s">
        <v>111</v>
      </c>
      <c r="AV9" s="3" t="s">
        <v>112</v>
      </c>
      <c r="AW9" s="3" t="s">
        <v>113</v>
      </c>
      <c r="AX9" s="24" t="s">
        <v>114</v>
      </c>
      <c r="AY9" s="24"/>
    </row>
    <row r="10" customFormat="false" ht="30" hidden="false" customHeight="true" outlineLevel="0" collapsed="false">
      <c r="A10" s="12" t="s">
        <v>104</v>
      </c>
      <c r="B10" s="12" t="s">
        <v>131</v>
      </c>
      <c r="C10" s="13" t="n">
        <v>3</v>
      </c>
      <c r="D10" s="14" t="s">
        <v>118</v>
      </c>
      <c r="E10" s="14" t="s">
        <v>124</v>
      </c>
      <c r="F10" s="14" t="s">
        <v>132</v>
      </c>
      <c r="G10" s="25" t="s">
        <v>133</v>
      </c>
      <c r="H10" s="14" t="s">
        <v>103</v>
      </c>
      <c r="I10" s="14" t="s">
        <v>62</v>
      </c>
      <c r="J10" s="14" t="s">
        <v>80</v>
      </c>
      <c r="K10" s="15" t="n">
        <v>1200</v>
      </c>
      <c r="L10" s="3" t="n">
        <v>12</v>
      </c>
      <c r="M10" s="16" t="n">
        <v>100</v>
      </c>
      <c r="N10" s="3" t="n">
        <v>75</v>
      </c>
      <c r="O10" s="3" t="n">
        <f aca="false">N10*0.01*K10</f>
        <v>900</v>
      </c>
      <c r="P10" s="3" t="n">
        <v>800</v>
      </c>
      <c r="Q10" s="3" t="n">
        <v>1500</v>
      </c>
      <c r="R10" s="14"/>
      <c r="W10" s="4" t="s">
        <v>118</v>
      </c>
      <c r="X10" s="4" t="s">
        <v>119</v>
      </c>
      <c r="Y10" s="4" t="s">
        <v>120</v>
      </c>
      <c r="Z10" s="4" t="s">
        <v>121</v>
      </c>
      <c r="AA10" s="18" t="s">
        <v>122</v>
      </c>
      <c r="AB10" s="17" t="s">
        <v>127</v>
      </c>
      <c r="AC10" s="17" t="s">
        <v>128</v>
      </c>
      <c r="AD10" s="17" t="s">
        <v>129</v>
      </c>
      <c r="AE10" s="17" t="s">
        <v>130</v>
      </c>
      <c r="AF10" s="17" t="s">
        <v>134</v>
      </c>
      <c r="AG10" s="17" t="s">
        <v>135</v>
      </c>
      <c r="AH10" s="17" t="s">
        <v>136</v>
      </c>
      <c r="AI10" s="17"/>
      <c r="AJ10" s="17"/>
      <c r="AK10" s="3" t="s">
        <v>137</v>
      </c>
      <c r="AL10" s="3" t="s">
        <v>138</v>
      </c>
      <c r="AM10" s="3" t="s">
        <v>139</v>
      </c>
      <c r="AN10" s="3" t="s">
        <v>140</v>
      </c>
      <c r="AO10" s="3" t="s">
        <v>141</v>
      </c>
      <c r="AR10" s="14" t="s">
        <v>118</v>
      </c>
      <c r="AS10" s="14" t="s">
        <v>132</v>
      </c>
      <c r="AT10" s="3" t="n">
        <v>1500</v>
      </c>
      <c r="AU10" s="3" t="s">
        <v>111</v>
      </c>
      <c r="AV10" s="3" t="s">
        <v>112</v>
      </c>
      <c r="AW10" s="3" t="s">
        <v>113</v>
      </c>
      <c r="AX10" s="24" t="s">
        <v>114</v>
      </c>
      <c r="AY10" s="24"/>
    </row>
    <row r="11" customFormat="false" ht="45" hidden="false" customHeight="true" outlineLevel="0" collapsed="false">
      <c r="A11" s="19" t="s">
        <v>142</v>
      </c>
      <c r="B11" s="19" t="s">
        <v>143</v>
      </c>
      <c r="C11" s="20" t="n">
        <v>2</v>
      </c>
      <c r="D11" s="21" t="s">
        <v>144</v>
      </c>
      <c r="E11" s="21" t="s">
        <v>145</v>
      </c>
      <c r="F11" s="21" t="s">
        <v>146</v>
      </c>
      <c r="G11" s="21" t="s">
        <v>147</v>
      </c>
      <c r="H11" s="21" t="s">
        <v>144</v>
      </c>
      <c r="I11" s="21" t="s">
        <v>62</v>
      </c>
      <c r="J11" s="21" t="s">
        <v>145</v>
      </c>
      <c r="K11" s="15" t="n">
        <v>15</v>
      </c>
      <c r="L11" s="3" t="n">
        <v>6</v>
      </c>
      <c r="M11" s="16" t="n">
        <v>2.5</v>
      </c>
      <c r="N11" s="3" t="n">
        <v>75</v>
      </c>
      <c r="O11" s="3" t="n">
        <f aca="false">N11*0.01*K11</f>
        <v>11.25</v>
      </c>
      <c r="P11" s="3" t="n">
        <v>5</v>
      </c>
      <c r="Q11" s="3" t="n">
        <v>15</v>
      </c>
      <c r="R11" s="21"/>
      <c r="Z11" s="3" t="s">
        <v>144</v>
      </c>
      <c r="AA11" s="22" t="s">
        <v>148</v>
      </c>
      <c r="AB11" s="23" t="s">
        <v>149</v>
      </c>
      <c r="AC11" s="23" t="s">
        <v>150</v>
      </c>
      <c r="AD11" s="23" t="s">
        <v>151</v>
      </c>
      <c r="AE11" s="23" t="s">
        <v>152</v>
      </c>
      <c r="AF11" s="23"/>
      <c r="AG11" s="23"/>
      <c r="AH11" s="23"/>
      <c r="AI11" s="22"/>
      <c r="AJ11" s="22"/>
      <c r="AK11" s="3" t="s">
        <v>153</v>
      </c>
      <c r="AL11" s="3" t="s">
        <v>154</v>
      </c>
      <c r="AR11" s="21" t="s">
        <v>144</v>
      </c>
      <c r="AS11" s="21" t="s">
        <v>146</v>
      </c>
      <c r="AT11" s="3" t="n">
        <v>15</v>
      </c>
      <c r="AU11" s="3" t="s">
        <v>155</v>
      </c>
      <c r="AV11" s="3" t="s">
        <v>156</v>
      </c>
      <c r="AX11" s="3" t="s">
        <v>144</v>
      </c>
      <c r="AY11" s="3" t="n">
        <v>1</v>
      </c>
      <c r="AZ11" s="24" t="s">
        <v>148</v>
      </c>
      <c r="BA11" s="3" t="n">
        <v>2</v>
      </c>
    </row>
    <row r="12" customFormat="false" ht="45" hidden="false" customHeight="true" outlineLevel="0" collapsed="false">
      <c r="A12" s="19" t="s">
        <v>142</v>
      </c>
      <c r="B12" s="19" t="s">
        <v>157</v>
      </c>
      <c r="C12" s="20" t="n">
        <v>2</v>
      </c>
      <c r="D12" s="21" t="s">
        <v>148</v>
      </c>
      <c r="E12" s="21" t="s">
        <v>145</v>
      </c>
      <c r="F12" s="21" t="s">
        <v>158</v>
      </c>
      <c r="G12" s="21" t="s">
        <v>147</v>
      </c>
      <c r="H12" s="21" t="s">
        <v>148</v>
      </c>
      <c r="I12" s="21" t="s">
        <v>62</v>
      </c>
      <c r="J12" s="21" t="s">
        <v>145</v>
      </c>
      <c r="K12" s="15" t="n">
        <v>10</v>
      </c>
      <c r="L12" s="3" t="n">
        <v>2</v>
      </c>
      <c r="M12" s="16" t="n">
        <v>5</v>
      </c>
      <c r="N12" s="3" t="n">
        <v>75</v>
      </c>
      <c r="O12" s="3" t="n">
        <f aca="false">N12*0.01*K12</f>
        <v>7.5</v>
      </c>
      <c r="P12" s="3" t="n">
        <v>10</v>
      </c>
      <c r="Q12" s="3" t="n">
        <v>15</v>
      </c>
      <c r="R12" s="21"/>
      <c r="Z12" s="3" t="s">
        <v>148</v>
      </c>
      <c r="AA12" s="22" t="s">
        <v>150</v>
      </c>
      <c r="AB12" s="23" t="s">
        <v>152</v>
      </c>
      <c r="AC12" s="23"/>
      <c r="AD12" s="23"/>
      <c r="AE12" s="23"/>
      <c r="AF12" s="22"/>
      <c r="AG12" s="22"/>
      <c r="AH12" s="22"/>
      <c r="AI12" s="22"/>
      <c r="AJ12" s="22"/>
      <c r="AK12" s="3" t="s">
        <v>154</v>
      </c>
      <c r="AR12" s="21" t="s">
        <v>148</v>
      </c>
      <c r="AS12" s="21" t="s">
        <v>158</v>
      </c>
      <c r="AT12" s="3" t="n">
        <v>15</v>
      </c>
      <c r="AU12" s="3" t="s">
        <v>155</v>
      </c>
      <c r="AV12" s="3" t="s">
        <v>156</v>
      </c>
      <c r="AX12" s="3" t="s">
        <v>148</v>
      </c>
      <c r="AY12" s="3" t="n">
        <v>1</v>
      </c>
      <c r="AZ12" s="24" t="s">
        <v>148</v>
      </c>
      <c r="BA12" s="3" t="n">
        <v>1</v>
      </c>
      <c r="BB12" s="3" t="s">
        <v>150</v>
      </c>
    </row>
    <row r="13" customFormat="false" ht="45" hidden="false" customHeight="true" outlineLevel="0" collapsed="false">
      <c r="A13" s="19" t="s">
        <v>142</v>
      </c>
      <c r="B13" s="19" t="s">
        <v>159</v>
      </c>
      <c r="C13" s="20" t="n">
        <v>2</v>
      </c>
      <c r="D13" s="21" t="s">
        <v>148</v>
      </c>
      <c r="E13" s="21" t="s">
        <v>145</v>
      </c>
      <c r="F13" s="21" t="s">
        <v>160</v>
      </c>
      <c r="G13" s="21" t="s">
        <v>161</v>
      </c>
      <c r="H13" s="21" t="s">
        <v>148</v>
      </c>
      <c r="I13" s="21" t="s">
        <v>62</v>
      </c>
      <c r="J13" s="21" t="s">
        <v>145</v>
      </c>
      <c r="K13" s="15" t="n">
        <v>30</v>
      </c>
      <c r="L13" s="3" t="n">
        <v>6</v>
      </c>
      <c r="M13" s="16" t="n">
        <v>5</v>
      </c>
      <c r="N13" s="3" t="n">
        <v>75</v>
      </c>
      <c r="O13" s="3" t="n">
        <f aca="false">N13*0.01*K13</f>
        <v>22.5</v>
      </c>
      <c r="P13" s="3" t="n">
        <v>10</v>
      </c>
      <c r="Q13" s="3" t="n">
        <v>30</v>
      </c>
      <c r="R13" s="21"/>
      <c r="Z13" s="3" t="s">
        <v>148</v>
      </c>
      <c r="AA13" s="22" t="s">
        <v>150</v>
      </c>
      <c r="AB13" s="23" t="s">
        <v>152</v>
      </c>
      <c r="AC13" s="23" t="s">
        <v>154</v>
      </c>
      <c r="AD13" s="23" t="s">
        <v>162</v>
      </c>
      <c r="AE13" s="23" t="s">
        <v>163</v>
      </c>
      <c r="AF13" s="22"/>
      <c r="AG13" s="22"/>
      <c r="AH13" s="22"/>
      <c r="AI13" s="22"/>
      <c r="AJ13" s="22"/>
      <c r="AK13" s="3" t="s">
        <v>164</v>
      </c>
      <c r="AL13" s="3" t="s">
        <v>165</v>
      </c>
      <c r="AR13" s="21" t="s">
        <v>148</v>
      </c>
      <c r="AS13" s="21" t="s">
        <v>160</v>
      </c>
      <c r="AT13" s="3" t="n">
        <v>30</v>
      </c>
      <c r="AU13" s="3" t="s">
        <v>155</v>
      </c>
      <c r="AV13" s="3" t="s">
        <v>156</v>
      </c>
      <c r="AX13" s="3" t="s">
        <v>148</v>
      </c>
      <c r="AY13" s="3" t="n">
        <v>1</v>
      </c>
      <c r="AZ13" s="24" t="s">
        <v>150</v>
      </c>
      <c r="BA13" s="3" t="n">
        <v>2</v>
      </c>
    </row>
    <row r="14" customFormat="false" ht="45" hidden="false" customHeight="true" outlineLevel="0" collapsed="false">
      <c r="A14" s="19" t="s">
        <v>142</v>
      </c>
      <c r="B14" s="19" t="s">
        <v>98</v>
      </c>
      <c r="C14" s="20" t="n">
        <v>2</v>
      </c>
      <c r="D14" s="21" t="s">
        <v>148</v>
      </c>
      <c r="E14" s="21" t="s">
        <v>145</v>
      </c>
      <c r="F14" s="21" t="s">
        <v>160</v>
      </c>
      <c r="G14" s="21" t="s">
        <v>161</v>
      </c>
      <c r="H14" s="21" t="s">
        <v>148</v>
      </c>
      <c r="I14" s="21" t="s">
        <v>62</v>
      </c>
      <c r="J14" s="21" t="s">
        <v>145</v>
      </c>
      <c r="K14" s="15" t="n">
        <v>30</v>
      </c>
      <c r="L14" s="3" t="n">
        <v>6</v>
      </c>
      <c r="M14" s="16" t="n">
        <v>5</v>
      </c>
      <c r="N14" s="3" t="n">
        <v>75</v>
      </c>
      <c r="O14" s="3" t="n">
        <f aca="false">N14*0.01*K14</f>
        <v>22.5</v>
      </c>
      <c r="P14" s="3" t="n">
        <v>10</v>
      </c>
      <c r="Q14" s="3" t="n">
        <v>30</v>
      </c>
      <c r="R14" s="21"/>
      <c r="Z14" s="3" t="s">
        <v>148</v>
      </c>
      <c r="AA14" s="22" t="s">
        <v>150</v>
      </c>
      <c r="AB14" s="23" t="s">
        <v>152</v>
      </c>
      <c r="AC14" s="23" t="s">
        <v>154</v>
      </c>
      <c r="AD14" s="23" t="s">
        <v>162</v>
      </c>
      <c r="AE14" s="23" t="s">
        <v>163</v>
      </c>
      <c r="AF14" s="22"/>
      <c r="AG14" s="22"/>
      <c r="AH14" s="22"/>
      <c r="AI14" s="22"/>
      <c r="AJ14" s="22"/>
      <c r="AK14" s="3" t="s">
        <v>164</v>
      </c>
      <c r="AL14" s="3" t="s">
        <v>165</v>
      </c>
      <c r="AR14" s="21" t="s">
        <v>148</v>
      </c>
      <c r="AS14" s="21" t="s">
        <v>160</v>
      </c>
      <c r="AT14" s="3" t="n">
        <v>30</v>
      </c>
      <c r="AU14" s="3" t="s">
        <v>155</v>
      </c>
      <c r="AV14" s="3" t="s">
        <v>156</v>
      </c>
      <c r="AX14" s="3" t="s">
        <v>148</v>
      </c>
      <c r="AY14" s="3" t="n">
        <v>1</v>
      </c>
      <c r="AZ14" s="24" t="s">
        <v>150</v>
      </c>
      <c r="BA14" s="3" t="n">
        <v>2</v>
      </c>
      <c r="BB14" s="3" t="s">
        <v>152</v>
      </c>
      <c r="BC14" s="1" t="s">
        <v>154</v>
      </c>
    </row>
    <row r="15" customFormat="false" ht="15" hidden="false" customHeight="true" outlineLevel="0" collapsed="false">
      <c r="A15" s="12" t="s">
        <v>166</v>
      </c>
      <c r="B15" s="12" t="s">
        <v>57</v>
      </c>
      <c r="C15" s="13" t="n">
        <v>2</v>
      </c>
      <c r="D15" s="14" t="s">
        <v>58</v>
      </c>
      <c r="E15" s="14" t="s">
        <v>167</v>
      </c>
      <c r="F15" s="14" t="s">
        <v>168</v>
      </c>
      <c r="G15" s="14" t="s">
        <v>133</v>
      </c>
      <c r="H15" s="14" t="s">
        <v>92</v>
      </c>
      <c r="I15" s="14" t="s">
        <v>62</v>
      </c>
      <c r="J15" s="14" t="s">
        <v>167</v>
      </c>
      <c r="K15" s="15" t="n">
        <v>10</v>
      </c>
      <c r="L15" s="3" t="n">
        <v>3</v>
      </c>
      <c r="M15" s="16" t="n">
        <v>3.33333333333333</v>
      </c>
      <c r="N15" s="3" t="n">
        <v>90</v>
      </c>
      <c r="O15" s="3" t="n">
        <f aca="false">N15*0.01*K15</f>
        <v>9</v>
      </c>
      <c r="P15" s="3" t="n">
        <v>20</v>
      </c>
      <c r="Q15" s="3" t="n">
        <v>27</v>
      </c>
      <c r="R15" s="14"/>
      <c r="X15" s="4"/>
      <c r="Y15" s="4" t="s">
        <v>58</v>
      </c>
      <c r="Z15" s="4" t="s">
        <v>109</v>
      </c>
      <c r="AA15" s="18" t="s">
        <v>63</v>
      </c>
      <c r="AB15" s="17" t="s">
        <v>169</v>
      </c>
      <c r="AC15" s="17" t="s">
        <v>170</v>
      </c>
      <c r="AD15" s="18"/>
      <c r="AE15" s="18"/>
      <c r="AF15" s="18"/>
      <c r="AG15" s="18"/>
      <c r="AH15" s="18"/>
      <c r="AI15" s="18"/>
      <c r="AJ15" s="18"/>
      <c r="AK15" s="3" t="s">
        <v>64</v>
      </c>
      <c r="AR15" s="14" t="s">
        <v>58</v>
      </c>
      <c r="AS15" s="14" t="s">
        <v>168</v>
      </c>
      <c r="AT15" s="3" t="n">
        <v>27</v>
      </c>
      <c r="AU15" s="3" t="s">
        <v>171</v>
      </c>
      <c r="AV15" s="3" t="s">
        <v>172</v>
      </c>
      <c r="AX15" s="4" t="s">
        <v>58</v>
      </c>
      <c r="AY15" s="4" t="n">
        <v>2</v>
      </c>
      <c r="AZ15" s="4" t="s">
        <v>109</v>
      </c>
      <c r="BA15" s="4" t="n">
        <v>2</v>
      </c>
      <c r="BB15" s="4" t="s">
        <v>63</v>
      </c>
    </row>
    <row r="16" customFormat="false" ht="15" hidden="false" customHeight="true" outlineLevel="0" collapsed="false">
      <c r="A16" s="19" t="s">
        <v>173</v>
      </c>
      <c r="B16" s="19" t="s">
        <v>174</v>
      </c>
      <c r="C16" s="20" t="n">
        <v>2</v>
      </c>
      <c r="D16" s="21" t="s">
        <v>81</v>
      </c>
      <c r="E16" s="21" t="s">
        <v>108</v>
      </c>
      <c r="F16" s="21" t="s">
        <v>175</v>
      </c>
      <c r="G16" s="21" t="s">
        <v>124</v>
      </c>
      <c r="H16" s="21" t="s">
        <v>81</v>
      </c>
      <c r="I16" s="21" t="s">
        <v>62</v>
      </c>
      <c r="J16" s="21" t="s">
        <v>108</v>
      </c>
      <c r="K16" s="15" t="n">
        <v>6</v>
      </c>
      <c r="L16" s="3" t="n">
        <v>6</v>
      </c>
      <c r="M16" s="16" t="n">
        <v>1</v>
      </c>
      <c r="N16" s="3" t="n">
        <v>85</v>
      </c>
      <c r="O16" s="3" t="n">
        <f aca="false">N16*0.01*K16</f>
        <v>5.1</v>
      </c>
      <c r="P16" s="3" t="n">
        <v>6</v>
      </c>
      <c r="Q16" s="3" t="n">
        <v>10.2</v>
      </c>
      <c r="R16" s="21"/>
      <c r="X16" s="4" t="s">
        <v>81</v>
      </c>
      <c r="Y16" s="4" t="s">
        <v>77</v>
      </c>
      <c r="Z16" s="4" t="s">
        <v>83</v>
      </c>
      <c r="AA16" s="4" t="s">
        <v>84</v>
      </c>
      <c r="AB16" s="26" t="s">
        <v>176</v>
      </c>
      <c r="AC16" s="23" t="s">
        <v>177</v>
      </c>
      <c r="AD16" s="23" t="s">
        <v>178</v>
      </c>
      <c r="AE16" s="23" t="s">
        <v>58</v>
      </c>
      <c r="AF16" s="23"/>
      <c r="AG16" s="23"/>
      <c r="AH16" s="22"/>
      <c r="AI16" s="22"/>
      <c r="AJ16" s="22"/>
      <c r="AK16" s="3" t="s">
        <v>179</v>
      </c>
      <c r="AL16" s="3" t="s">
        <v>180</v>
      </c>
      <c r="AR16" s="21" t="s">
        <v>81</v>
      </c>
      <c r="AS16" s="21" t="s">
        <v>175</v>
      </c>
      <c r="AT16" s="3" t="n">
        <v>10.2</v>
      </c>
      <c r="AU16" s="3" t="s">
        <v>85</v>
      </c>
      <c r="AV16" s="3" t="s">
        <v>181</v>
      </c>
      <c r="AW16" s="3" t="s">
        <v>182</v>
      </c>
      <c r="AX16" s="4" t="s">
        <v>81</v>
      </c>
      <c r="AY16" s="4" t="n">
        <v>2</v>
      </c>
      <c r="AZ16" s="4" t="s">
        <v>77</v>
      </c>
      <c r="BA16" s="4" t="n">
        <v>2</v>
      </c>
      <c r="BB16" s="4" t="s">
        <v>83</v>
      </c>
      <c r="BC16" s="4" t="s">
        <v>84</v>
      </c>
    </row>
    <row r="17" customFormat="false" ht="30" hidden="false" customHeight="true" outlineLevel="0" collapsed="false">
      <c r="A17" s="19" t="s">
        <v>173</v>
      </c>
      <c r="B17" s="19" t="s">
        <v>159</v>
      </c>
      <c r="C17" s="20" t="n">
        <v>2</v>
      </c>
      <c r="D17" s="21" t="s">
        <v>96</v>
      </c>
      <c r="E17" s="21" t="s">
        <v>108</v>
      </c>
      <c r="F17" s="21" t="s">
        <v>183</v>
      </c>
      <c r="G17" s="21" t="s">
        <v>124</v>
      </c>
      <c r="H17" s="21" t="s">
        <v>96</v>
      </c>
      <c r="I17" s="21" t="s">
        <v>62</v>
      </c>
      <c r="J17" s="21" t="s">
        <v>108</v>
      </c>
      <c r="K17" s="15" t="n">
        <v>4</v>
      </c>
      <c r="L17" s="3" t="n">
        <v>4</v>
      </c>
      <c r="M17" s="16" t="n">
        <v>1</v>
      </c>
      <c r="N17" s="3" t="n">
        <v>85</v>
      </c>
      <c r="O17" s="3" t="n">
        <f aca="false">N17*0.01*K17</f>
        <v>3.4</v>
      </c>
      <c r="P17" s="3" t="n">
        <v>4</v>
      </c>
      <c r="Q17" s="3" t="n">
        <v>6.8</v>
      </c>
      <c r="R17" s="21"/>
      <c r="X17" s="3" t="s">
        <v>96</v>
      </c>
      <c r="Y17" s="4" t="s">
        <v>94</v>
      </c>
      <c r="Z17" s="3" t="s">
        <v>77</v>
      </c>
      <c r="AA17" s="3" t="s">
        <v>97</v>
      </c>
      <c r="AB17" s="23" t="s">
        <v>92</v>
      </c>
      <c r="AC17" s="23" t="s">
        <v>84</v>
      </c>
      <c r="AD17" s="23"/>
      <c r="AE17" s="23"/>
      <c r="AF17" s="22"/>
      <c r="AG17" s="22"/>
      <c r="AH17" s="22"/>
      <c r="AI17" s="22"/>
      <c r="AJ17" s="22"/>
      <c r="AK17" s="3" t="s">
        <v>176</v>
      </c>
      <c r="AL17" s="3" t="s">
        <v>177</v>
      </c>
      <c r="AR17" s="21" t="s">
        <v>96</v>
      </c>
      <c r="AS17" s="21" t="s">
        <v>183</v>
      </c>
      <c r="AT17" s="3" t="n">
        <v>6.8</v>
      </c>
      <c r="AU17" s="3" t="s">
        <v>85</v>
      </c>
      <c r="AV17" s="3" t="s">
        <v>181</v>
      </c>
      <c r="AW17" s="3" t="s">
        <v>182</v>
      </c>
      <c r="AX17" s="4" t="s">
        <v>96</v>
      </c>
      <c r="AY17" s="4" t="n">
        <v>2</v>
      </c>
      <c r="AZ17" s="4" t="s">
        <v>94</v>
      </c>
      <c r="BA17" s="4" t="n">
        <v>2</v>
      </c>
      <c r="BB17" s="4" t="s">
        <v>77</v>
      </c>
      <c r="BC17" s="1" t="s">
        <v>97</v>
      </c>
    </row>
    <row r="18" customFormat="false" ht="30" hidden="false" customHeight="true" outlineLevel="0" collapsed="false">
      <c r="A18" s="19" t="s">
        <v>173</v>
      </c>
      <c r="B18" s="19" t="s">
        <v>98</v>
      </c>
      <c r="C18" s="20" t="n">
        <v>2</v>
      </c>
      <c r="D18" s="21" t="s">
        <v>99</v>
      </c>
      <c r="E18" s="21" t="s">
        <v>108</v>
      </c>
      <c r="F18" s="21" t="s">
        <v>184</v>
      </c>
      <c r="G18" s="21" t="s">
        <v>124</v>
      </c>
      <c r="H18" s="21" t="s">
        <v>99</v>
      </c>
      <c r="I18" s="21" t="s">
        <v>62</v>
      </c>
      <c r="J18" s="21" t="s">
        <v>108</v>
      </c>
      <c r="K18" s="15" t="n">
        <v>200</v>
      </c>
      <c r="L18" s="3" t="n">
        <v>4</v>
      </c>
      <c r="M18" s="16" t="n">
        <v>50</v>
      </c>
      <c r="N18" s="3" t="n">
        <v>85</v>
      </c>
      <c r="O18" s="3" t="n">
        <f aca="false">N18*0.01*K18</f>
        <v>170</v>
      </c>
      <c r="P18" s="3" t="n">
        <v>200</v>
      </c>
      <c r="Q18" s="3" t="n">
        <v>340</v>
      </c>
      <c r="R18" s="21"/>
      <c r="Y18" s="4" t="s">
        <v>99</v>
      </c>
      <c r="Z18" s="4" t="s">
        <v>102</v>
      </c>
      <c r="AA18" s="22" t="s">
        <v>103</v>
      </c>
      <c r="AB18" s="22" t="s">
        <v>185</v>
      </c>
      <c r="AC18" s="22" t="s">
        <v>117</v>
      </c>
      <c r="AD18" s="22"/>
      <c r="AE18" s="22"/>
      <c r="AF18" s="22"/>
      <c r="AG18" s="22"/>
      <c r="AH18" s="22"/>
      <c r="AI18" s="22"/>
      <c r="AJ18" s="22"/>
      <c r="AK18" s="4" t="s">
        <v>186</v>
      </c>
      <c r="AL18" s="4" t="s">
        <v>118</v>
      </c>
      <c r="AM18" s="4"/>
      <c r="AN18" s="4"/>
      <c r="AO18" s="4"/>
      <c r="AP18" s="4"/>
      <c r="AQ18" s="4"/>
      <c r="AR18" s="21" t="s">
        <v>99</v>
      </c>
      <c r="AS18" s="21" t="s">
        <v>184</v>
      </c>
      <c r="AT18" s="3" t="n">
        <v>340</v>
      </c>
      <c r="AU18" s="3" t="s">
        <v>85</v>
      </c>
      <c r="AV18" s="3" t="s">
        <v>181</v>
      </c>
      <c r="AW18" s="3" t="s">
        <v>182</v>
      </c>
      <c r="AX18" s="3" t="s">
        <v>99</v>
      </c>
      <c r="AY18" s="4" t="n">
        <v>2</v>
      </c>
      <c r="AZ18" s="3" t="s">
        <v>102</v>
      </c>
      <c r="BA18" s="4" t="n">
        <v>2</v>
      </c>
      <c r="BB18" s="27" t="s">
        <v>103</v>
      </c>
    </row>
    <row r="19" customFormat="false" ht="75" hidden="false" customHeight="true" outlineLevel="0" collapsed="false">
      <c r="A19" s="12" t="s">
        <v>187</v>
      </c>
      <c r="B19" s="12" t="s">
        <v>188</v>
      </c>
      <c r="C19" s="13" t="n">
        <v>2</v>
      </c>
      <c r="D19" s="14" t="s">
        <v>189</v>
      </c>
      <c r="E19" s="14" t="s">
        <v>190</v>
      </c>
      <c r="F19" s="14" t="s">
        <v>191</v>
      </c>
      <c r="G19" s="14" t="s">
        <v>192</v>
      </c>
      <c r="H19" s="14" t="s">
        <v>193</v>
      </c>
      <c r="I19" s="21" t="s">
        <v>62</v>
      </c>
      <c r="J19" s="14" t="s">
        <v>82</v>
      </c>
      <c r="K19" s="15" t="n">
        <v>3</v>
      </c>
      <c r="L19" s="3" t="n">
        <v>6</v>
      </c>
      <c r="M19" s="16" t="n">
        <v>0.5</v>
      </c>
      <c r="N19" s="3" t="n">
        <v>80</v>
      </c>
      <c r="O19" s="3" t="n">
        <f aca="false">N19*0.01*K19</f>
        <v>2.4</v>
      </c>
      <c r="P19" s="3" t="n">
        <v>4.5</v>
      </c>
      <c r="Q19" s="3" t="n">
        <v>6</v>
      </c>
      <c r="R19" s="14"/>
      <c r="S19" s="4" t="s">
        <v>189</v>
      </c>
      <c r="T19" s="4" t="s">
        <v>193</v>
      </c>
      <c r="U19" s="4" t="s">
        <v>194</v>
      </c>
      <c r="V19" s="4" t="s">
        <v>195</v>
      </c>
      <c r="W19" s="4" t="s">
        <v>196</v>
      </c>
      <c r="X19" s="4" t="s">
        <v>77</v>
      </c>
      <c r="Y19" s="4" t="s">
        <v>197</v>
      </c>
      <c r="Z19" s="4" t="s">
        <v>198</v>
      </c>
      <c r="AA19" s="18" t="s">
        <v>83</v>
      </c>
      <c r="AB19" s="17" t="s">
        <v>92</v>
      </c>
      <c r="AC19" s="17" t="s">
        <v>199</v>
      </c>
      <c r="AD19" s="17" t="s">
        <v>84</v>
      </c>
      <c r="AE19" s="18"/>
      <c r="AF19" s="18"/>
      <c r="AG19" s="18"/>
      <c r="AH19" s="18"/>
      <c r="AI19" s="18"/>
      <c r="AJ19" s="18"/>
      <c r="AK19" s="3" t="s">
        <v>200</v>
      </c>
      <c r="AL19" s="3" t="s">
        <v>176</v>
      </c>
      <c r="AM19" s="3" t="s">
        <v>201</v>
      </c>
      <c r="AR19" s="14" t="s">
        <v>189</v>
      </c>
      <c r="AS19" s="14" t="s">
        <v>191</v>
      </c>
      <c r="AT19" s="3" t="n">
        <v>6</v>
      </c>
      <c r="AU19" s="3" t="s">
        <v>85</v>
      </c>
      <c r="AV19" s="3" t="s">
        <v>202</v>
      </c>
      <c r="AW19" s="3" t="s">
        <v>203</v>
      </c>
      <c r="AX19" s="28" t="s">
        <v>189</v>
      </c>
      <c r="AY19" s="4" t="n">
        <v>1</v>
      </c>
      <c r="AZ19" s="28" t="s">
        <v>193</v>
      </c>
      <c r="BA19" s="4" t="n">
        <v>2</v>
      </c>
      <c r="BB19" s="28" t="s">
        <v>194</v>
      </c>
      <c r="BC19" s="28" t="s">
        <v>195</v>
      </c>
      <c r="BD19" s="29" t="s">
        <v>196</v>
      </c>
      <c r="BE19" s="29" t="s">
        <v>77</v>
      </c>
      <c r="BF19" s="29" t="s">
        <v>197</v>
      </c>
      <c r="BG19" s="29" t="s">
        <v>198</v>
      </c>
      <c r="BH19" s="29" t="s">
        <v>83</v>
      </c>
      <c r="BI19" s="28" t="s">
        <v>204</v>
      </c>
    </row>
    <row r="20" customFormat="false" ht="15" hidden="false" customHeight="true" outlineLevel="0" collapsed="false">
      <c r="A20" s="12" t="s">
        <v>187</v>
      </c>
      <c r="B20" s="12" t="s">
        <v>205</v>
      </c>
      <c r="C20" s="13" t="n">
        <v>2</v>
      </c>
      <c r="D20" s="14" t="s">
        <v>162</v>
      </c>
      <c r="E20" s="14" t="s">
        <v>82</v>
      </c>
      <c r="F20" s="14" t="s">
        <v>206</v>
      </c>
      <c r="G20" s="14" t="s">
        <v>124</v>
      </c>
      <c r="H20" s="14" t="s">
        <v>101</v>
      </c>
      <c r="I20" s="21" t="s">
        <v>62</v>
      </c>
      <c r="J20" s="14" t="s">
        <v>78</v>
      </c>
      <c r="K20" s="15" t="n">
        <v>150</v>
      </c>
      <c r="L20" s="3" t="n">
        <v>3</v>
      </c>
      <c r="M20" s="16" t="n">
        <v>50</v>
      </c>
      <c r="N20" s="3" t="n">
        <v>80</v>
      </c>
      <c r="O20" s="3" t="n">
        <f aca="false">N20*0.01*K20</f>
        <v>120</v>
      </c>
      <c r="P20" s="3" t="n">
        <v>225</v>
      </c>
      <c r="Q20" s="3" t="n">
        <v>300</v>
      </c>
      <c r="V20" s="3" t="s">
        <v>162</v>
      </c>
      <c r="W20" s="3" t="s">
        <v>101</v>
      </c>
      <c r="X20" s="3" t="s">
        <v>99</v>
      </c>
      <c r="Y20" s="3" t="s">
        <v>102</v>
      </c>
      <c r="Z20" s="3" t="s">
        <v>103</v>
      </c>
      <c r="AA20" s="18" t="s">
        <v>207</v>
      </c>
      <c r="AB20" s="17" t="s">
        <v>208</v>
      </c>
      <c r="AC20" s="17"/>
      <c r="AD20" s="18"/>
      <c r="AF20" s="18"/>
      <c r="AG20" s="18"/>
      <c r="AH20" s="18"/>
      <c r="AI20" s="18"/>
      <c r="AJ20" s="18"/>
      <c r="AK20" s="3" t="s">
        <v>209</v>
      </c>
      <c r="AL20" s="3" t="s">
        <v>210</v>
      </c>
      <c r="AR20" s="14" t="s">
        <v>162</v>
      </c>
      <c r="AS20" s="14" t="s">
        <v>206</v>
      </c>
      <c r="AT20" s="3" t="n">
        <v>300</v>
      </c>
      <c r="AU20" s="3" t="s">
        <v>85</v>
      </c>
      <c r="AV20" s="3" t="s">
        <v>202</v>
      </c>
      <c r="AW20" s="3" t="s">
        <v>203</v>
      </c>
      <c r="AX20" s="3" t="s">
        <v>162</v>
      </c>
      <c r="AY20" s="4" t="n">
        <v>1</v>
      </c>
      <c r="AZ20" s="3" t="s">
        <v>101</v>
      </c>
      <c r="BA20" s="4" t="n">
        <v>2</v>
      </c>
      <c r="BB20" s="3" t="s">
        <v>99</v>
      </c>
      <c r="BC20" s="3" t="s">
        <v>102</v>
      </c>
      <c r="BD20" s="3" t="s">
        <v>103</v>
      </c>
      <c r="BE20" s="3" t="s">
        <v>185</v>
      </c>
      <c r="BI20" s="1" t="s">
        <v>211</v>
      </c>
    </row>
    <row r="21" customFormat="false" ht="15" hidden="false" customHeight="true" outlineLevel="0" collapsed="false">
      <c r="A21" s="12" t="s">
        <v>187</v>
      </c>
      <c r="B21" s="12" t="s">
        <v>212</v>
      </c>
      <c r="C21" s="13" t="n">
        <v>2</v>
      </c>
      <c r="D21" s="14" t="s">
        <v>162</v>
      </c>
      <c r="E21" s="14" t="s">
        <v>82</v>
      </c>
      <c r="F21" s="14" t="s">
        <v>206</v>
      </c>
      <c r="G21" s="14" t="s">
        <v>213</v>
      </c>
      <c r="H21" s="14" t="s">
        <v>101</v>
      </c>
      <c r="I21" s="21" t="s">
        <v>62</v>
      </c>
      <c r="J21" s="14" t="s">
        <v>78</v>
      </c>
      <c r="K21" s="15" t="n">
        <v>150</v>
      </c>
      <c r="L21" s="3" t="n">
        <v>3</v>
      </c>
      <c r="M21" s="16" t="n">
        <v>50</v>
      </c>
      <c r="N21" s="3" t="n">
        <v>80</v>
      </c>
      <c r="O21" s="3" t="n">
        <f aca="false">N21*0.01*K21</f>
        <v>120</v>
      </c>
      <c r="P21" s="3" t="n">
        <v>225</v>
      </c>
      <c r="Q21" s="3" t="n">
        <v>300</v>
      </c>
      <c r="V21" s="3" t="s">
        <v>162</v>
      </c>
      <c r="W21" s="3" t="s">
        <v>101</v>
      </c>
      <c r="X21" s="3" t="s">
        <v>99</v>
      </c>
      <c r="Y21" s="3" t="s">
        <v>102</v>
      </c>
      <c r="Z21" s="3" t="s">
        <v>103</v>
      </c>
      <c r="AA21" s="18" t="s">
        <v>207</v>
      </c>
      <c r="AB21" s="17" t="s">
        <v>208</v>
      </c>
      <c r="AC21" s="17"/>
      <c r="AD21" s="17"/>
      <c r="AF21" s="18"/>
      <c r="AG21" s="18"/>
      <c r="AH21" s="18"/>
      <c r="AI21" s="18"/>
      <c r="AJ21" s="18"/>
      <c r="AK21" s="3" t="s">
        <v>209</v>
      </c>
      <c r="AL21" s="3" t="s">
        <v>210</v>
      </c>
      <c r="AR21" s="14" t="s">
        <v>162</v>
      </c>
      <c r="AS21" s="14" t="s">
        <v>206</v>
      </c>
      <c r="AT21" s="3" t="n">
        <v>300</v>
      </c>
      <c r="AU21" s="3" t="s">
        <v>85</v>
      </c>
      <c r="AV21" s="3" t="s">
        <v>202</v>
      </c>
      <c r="AW21" s="3" t="s">
        <v>203</v>
      </c>
      <c r="AX21" s="3" t="s">
        <v>162</v>
      </c>
      <c r="AY21" s="4" t="n">
        <v>1</v>
      </c>
      <c r="AZ21" s="3" t="s">
        <v>101</v>
      </c>
      <c r="BA21" s="4" t="n">
        <v>2</v>
      </c>
      <c r="BB21" s="3" t="s">
        <v>99</v>
      </c>
      <c r="BC21" s="3" t="s">
        <v>102</v>
      </c>
      <c r="BD21" s="30" t="s">
        <v>103</v>
      </c>
      <c r="BE21" s="30" t="s">
        <v>185</v>
      </c>
      <c r="BI21" s="28" t="s">
        <v>214</v>
      </c>
    </row>
    <row r="22" customFormat="false" ht="30" hidden="false" customHeight="true" outlineLevel="0" collapsed="false">
      <c r="A22" s="19" t="s">
        <v>215</v>
      </c>
      <c r="B22" s="19" t="s">
        <v>143</v>
      </c>
      <c r="C22" s="20" t="n">
        <v>2</v>
      </c>
      <c r="D22" s="21" t="s">
        <v>201</v>
      </c>
      <c r="E22" s="21" t="s">
        <v>192</v>
      </c>
      <c r="F22" s="21" t="s">
        <v>216</v>
      </c>
      <c r="G22" s="21" t="s">
        <v>217</v>
      </c>
      <c r="H22" s="21" t="s">
        <v>58</v>
      </c>
      <c r="I22" s="21" t="s">
        <v>62</v>
      </c>
      <c r="J22" s="21" t="s">
        <v>192</v>
      </c>
      <c r="K22" s="15" t="n">
        <v>36.75</v>
      </c>
      <c r="L22" s="3" t="n">
        <v>7</v>
      </c>
      <c r="M22" s="16" t="n">
        <v>5.25</v>
      </c>
      <c r="N22" s="3" t="n">
        <v>70</v>
      </c>
      <c r="O22" s="3" t="n">
        <v>36.75</v>
      </c>
      <c r="P22" s="3" t="n">
        <v>23.25</v>
      </c>
      <c r="Q22" s="3" t="n">
        <v>42</v>
      </c>
      <c r="R22" s="21"/>
      <c r="X22" s="23" t="s">
        <v>201</v>
      </c>
      <c r="Y22" s="23" t="s">
        <v>218</v>
      </c>
      <c r="Z22" s="23" t="s">
        <v>219</v>
      </c>
      <c r="AA22" s="23" t="s">
        <v>220</v>
      </c>
      <c r="AB22" s="23" t="s">
        <v>221</v>
      </c>
      <c r="AC22" s="23" t="s">
        <v>222</v>
      </c>
      <c r="AD22" s="23" t="s">
        <v>223</v>
      </c>
      <c r="AH22" s="23"/>
      <c r="AI22" s="22"/>
      <c r="AJ22" s="22"/>
      <c r="AK22" s="3" t="s">
        <v>224</v>
      </c>
      <c r="AL22" s="3" t="s">
        <v>225</v>
      </c>
      <c r="AM22" s="3" t="s">
        <v>226</v>
      </c>
      <c r="AN22" s="3" t="s">
        <v>70</v>
      </c>
      <c r="AR22" s="21" t="s">
        <v>201</v>
      </c>
      <c r="AS22" s="21" t="s">
        <v>216</v>
      </c>
      <c r="AT22" s="3" t="n">
        <v>42</v>
      </c>
      <c r="AU22" s="3" t="s">
        <v>227</v>
      </c>
      <c r="AV22" s="3" t="s">
        <v>228</v>
      </c>
      <c r="AW22" s="3" t="s">
        <v>228</v>
      </c>
      <c r="AX22" s="23" t="s">
        <v>201</v>
      </c>
      <c r="AY22" s="3" t="n">
        <v>2</v>
      </c>
      <c r="AZ22" s="23" t="s">
        <v>218</v>
      </c>
      <c r="BA22" s="3" t="n">
        <v>2</v>
      </c>
      <c r="BB22" s="23" t="s">
        <v>219</v>
      </c>
      <c r="BC22" s="23" t="s">
        <v>220</v>
      </c>
      <c r="BD22" s="3"/>
      <c r="BE22" s="3"/>
      <c r="BF22" s="3"/>
    </row>
    <row r="23" customFormat="false" ht="30" hidden="false" customHeight="true" outlineLevel="0" collapsed="false">
      <c r="A23" s="19" t="s">
        <v>215</v>
      </c>
      <c r="B23" s="19" t="s">
        <v>229</v>
      </c>
      <c r="C23" s="20" t="n">
        <v>2</v>
      </c>
      <c r="D23" s="21" t="s">
        <v>103</v>
      </c>
      <c r="E23" s="21" t="s">
        <v>192</v>
      </c>
      <c r="F23" s="21" t="s">
        <v>230</v>
      </c>
      <c r="G23" s="21" t="s">
        <v>217</v>
      </c>
      <c r="H23" s="21" t="s">
        <v>117</v>
      </c>
      <c r="I23" s="21" t="s">
        <v>62</v>
      </c>
      <c r="J23" s="21" t="s">
        <v>192</v>
      </c>
      <c r="K23" s="15" t="n">
        <v>300</v>
      </c>
      <c r="L23" s="3" t="n">
        <v>4</v>
      </c>
      <c r="M23" s="16" t="n">
        <v>75</v>
      </c>
      <c r="N23" s="3" t="n">
        <v>80</v>
      </c>
      <c r="O23" s="3" t="n">
        <v>210</v>
      </c>
      <c r="P23" s="3" t="n">
        <v>600</v>
      </c>
      <c r="Q23" s="3" t="n">
        <v>720</v>
      </c>
      <c r="R23" s="21"/>
      <c r="W23" s="3" t="s">
        <v>103</v>
      </c>
      <c r="X23" s="3" t="s">
        <v>117</v>
      </c>
      <c r="Y23" s="3" t="s">
        <v>118</v>
      </c>
      <c r="Z23" s="3" t="s">
        <v>119</v>
      </c>
      <c r="AA23" s="23" t="s">
        <v>120</v>
      </c>
      <c r="AB23" s="23" t="s">
        <v>231</v>
      </c>
      <c r="AC23" s="23"/>
      <c r="AD23" s="23"/>
      <c r="AE23" s="23"/>
      <c r="AF23" s="22"/>
      <c r="AG23" s="22"/>
      <c r="AH23" s="22"/>
      <c r="AI23" s="22"/>
      <c r="AJ23" s="22"/>
      <c r="AK23" s="3" t="s">
        <v>232</v>
      </c>
      <c r="AL23" s="3" t="s">
        <v>233</v>
      </c>
      <c r="AM23" s="3" t="s">
        <v>127</v>
      </c>
      <c r="AR23" s="21" t="s">
        <v>103</v>
      </c>
      <c r="AS23" s="21" t="s">
        <v>230</v>
      </c>
      <c r="AT23" s="3" t="n">
        <v>720</v>
      </c>
      <c r="AU23" s="3" t="s">
        <v>227</v>
      </c>
      <c r="AV23" s="3" t="s">
        <v>228</v>
      </c>
      <c r="AW23" s="3" t="s">
        <v>228</v>
      </c>
      <c r="AX23" s="3" t="s">
        <v>103</v>
      </c>
      <c r="AY23" s="3" t="n">
        <v>2</v>
      </c>
      <c r="AZ23" s="3" t="s">
        <v>117</v>
      </c>
      <c r="BA23" s="3" t="n">
        <v>2</v>
      </c>
      <c r="BB23" s="3" t="s">
        <v>118</v>
      </c>
      <c r="BC23" s="3" t="s">
        <v>119</v>
      </c>
      <c r="BD23" s="23" t="s">
        <v>120</v>
      </c>
    </row>
    <row r="24" customFormat="false" ht="30" hidden="false" customHeight="true" outlineLevel="0" collapsed="false">
      <c r="A24" s="19" t="s">
        <v>215</v>
      </c>
      <c r="B24" s="19" t="s">
        <v>234</v>
      </c>
      <c r="C24" s="20" t="n">
        <v>2</v>
      </c>
      <c r="D24" s="21" t="s">
        <v>117</v>
      </c>
      <c r="E24" s="21" t="s">
        <v>192</v>
      </c>
      <c r="F24" s="21" t="s">
        <v>235</v>
      </c>
      <c r="G24" s="21" t="s">
        <v>126</v>
      </c>
      <c r="H24" s="21" t="s">
        <v>117</v>
      </c>
      <c r="I24" s="21" t="s">
        <v>62</v>
      </c>
      <c r="J24" s="21" t="s">
        <v>192</v>
      </c>
      <c r="K24" s="15" t="n">
        <v>300</v>
      </c>
      <c r="L24" s="3" t="n">
        <v>4</v>
      </c>
      <c r="M24" s="16" t="n">
        <v>75</v>
      </c>
      <c r="N24" s="3" t="n">
        <v>85</v>
      </c>
      <c r="O24" s="3" t="n">
        <v>210</v>
      </c>
      <c r="P24" s="3" t="n">
        <v>900</v>
      </c>
      <c r="Q24" s="3" t="n">
        <v>1020</v>
      </c>
      <c r="R24" s="21"/>
      <c r="W24" s="26" t="s">
        <v>117</v>
      </c>
      <c r="X24" s="26" t="s">
        <v>236</v>
      </c>
      <c r="Y24" s="26" t="s">
        <v>120</v>
      </c>
      <c r="Z24" s="26" t="s">
        <v>232</v>
      </c>
      <c r="AA24" s="23" t="s">
        <v>127</v>
      </c>
      <c r="AB24" s="23" t="s">
        <v>237</v>
      </c>
      <c r="AC24" s="23"/>
      <c r="AD24" s="23"/>
      <c r="AE24" s="23"/>
      <c r="AF24" s="22"/>
      <c r="AG24" s="22"/>
      <c r="AH24" s="22"/>
      <c r="AI24" s="22"/>
      <c r="AJ24" s="22"/>
      <c r="AK24" s="3" t="s">
        <v>238</v>
      </c>
      <c r="AL24" s="3" t="s">
        <v>239</v>
      </c>
      <c r="AM24" s="3" t="s">
        <v>130</v>
      </c>
      <c r="AR24" s="21" t="s">
        <v>117</v>
      </c>
      <c r="AS24" s="21" t="s">
        <v>235</v>
      </c>
      <c r="AT24" s="3" t="n">
        <v>1020</v>
      </c>
      <c r="AU24" s="3" t="s">
        <v>227</v>
      </c>
      <c r="AV24" s="3" t="s">
        <v>228</v>
      </c>
      <c r="AW24" s="3" t="s">
        <v>228</v>
      </c>
      <c r="AX24" s="26" t="s">
        <v>117</v>
      </c>
      <c r="AY24" s="3" t="n">
        <v>2</v>
      </c>
      <c r="AZ24" s="26" t="s">
        <v>236</v>
      </c>
      <c r="BA24" s="3" t="n">
        <v>2</v>
      </c>
      <c r="BB24" s="26" t="s">
        <v>120</v>
      </c>
      <c r="BC24" s="26" t="s">
        <v>232</v>
      </c>
      <c r="BD24" s="23" t="s">
        <v>127</v>
      </c>
    </row>
    <row r="25" customFormat="false" ht="30" hidden="false" customHeight="true" outlineLevel="0" collapsed="false">
      <c r="A25" s="19" t="s">
        <v>215</v>
      </c>
      <c r="B25" s="19" t="s">
        <v>240</v>
      </c>
      <c r="C25" s="20" t="n">
        <v>2</v>
      </c>
      <c r="D25" s="21" t="s">
        <v>117</v>
      </c>
      <c r="E25" s="21" t="s">
        <v>192</v>
      </c>
      <c r="F25" s="21" t="s">
        <v>241</v>
      </c>
      <c r="G25" s="21" t="s">
        <v>242</v>
      </c>
      <c r="H25" s="21" t="s">
        <v>117</v>
      </c>
      <c r="I25" s="21" t="s">
        <v>62</v>
      </c>
      <c r="J25" s="21" t="s">
        <v>192</v>
      </c>
      <c r="K25" s="15" t="n">
        <v>600</v>
      </c>
      <c r="L25" s="3" t="n">
        <v>4</v>
      </c>
      <c r="M25" s="16" t="n">
        <v>150</v>
      </c>
      <c r="N25" s="3" t="n">
        <v>80</v>
      </c>
      <c r="O25" s="3" t="n">
        <v>420</v>
      </c>
      <c r="P25" s="3" t="n">
        <v>900</v>
      </c>
      <c r="Q25" s="3" t="n">
        <v>1200</v>
      </c>
      <c r="R25" s="21"/>
      <c r="W25" s="26" t="s">
        <v>117</v>
      </c>
      <c r="X25" s="26" t="s">
        <v>236</v>
      </c>
      <c r="Y25" s="26" t="s">
        <v>120</v>
      </c>
      <c r="Z25" s="26" t="s">
        <v>232</v>
      </c>
      <c r="AA25" s="23" t="s">
        <v>127</v>
      </c>
      <c r="AB25" s="23" t="s">
        <v>238</v>
      </c>
      <c r="AC25" s="23" t="s">
        <v>130</v>
      </c>
      <c r="AD25" s="23"/>
      <c r="AE25" s="23"/>
      <c r="AF25" s="22"/>
      <c r="AG25" s="22"/>
      <c r="AH25" s="22"/>
      <c r="AI25" s="22"/>
      <c r="AJ25" s="22"/>
      <c r="AK25" s="3" t="s">
        <v>243</v>
      </c>
      <c r="AL25" s="3" t="s">
        <v>136</v>
      </c>
      <c r="AR25" s="21" t="s">
        <v>117</v>
      </c>
      <c r="AS25" s="21" t="s">
        <v>241</v>
      </c>
      <c r="AT25" s="3" t="n">
        <v>1200</v>
      </c>
      <c r="AU25" s="3" t="s">
        <v>227</v>
      </c>
      <c r="AV25" s="3" t="s">
        <v>228</v>
      </c>
      <c r="AW25" s="3" t="s">
        <v>228</v>
      </c>
      <c r="AX25" s="26" t="s">
        <v>117</v>
      </c>
      <c r="AY25" s="3" t="n">
        <v>2</v>
      </c>
      <c r="AZ25" s="26" t="s">
        <v>236</v>
      </c>
      <c r="BA25" s="3" t="n">
        <v>2</v>
      </c>
      <c r="BB25" s="26" t="s">
        <v>120</v>
      </c>
      <c r="BC25" s="26" t="s">
        <v>232</v>
      </c>
      <c r="BD25" s="23" t="s">
        <v>127</v>
      </c>
    </row>
    <row r="26" customFormat="false" ht="30" hidden="false" customHeight="true" outlineLevel="0" collapsed="false">
      <c r="A26" s="19" t="s">
        <v>215</v>
      </c>
      <c r="B26" s="19" t="s">
        <v>244</v>
      </c>
      <c r="C26" s="20" t="n">
        <v>2</v>
      </c>
      <c r="D26" s="21" t="s">
        <v>117</v>
      </c>
      <c r="E26" s="21" t="s">
        <v>192</v>
      </c>
      <c r="F26" s="21" t="s">
        <v>245</v>
      </c>
      <c r="G26" s="21" t="s">
        <v>242</v>
      </c>
      <c r="H26" s="21" t="s">
        <v>117</v>
      </c>
      <c r="I26" s="21" t="s">
        <v>62</v>
      </c>
      <c r="J26" s="21" t="s">
        <v>192</v>
      </c>
      <c r="K26" s="15" t="n">
        <v>300</v>
      </c>
      <c r="L26" s="3" t="n">
        <v>4</v>
      </c>
      <c r="M26" s="16" t="n">
        <v>75</v>
      </c>
      <c r="N26" s="3" t="n">
        <v>85</v>
      </c>
      <c r="O26" s="3" t="n">
        <v>210</v>
      </c>
      <c r="P26" s="3" t="n">
        <v>1200</v>
      </c>
      <c r="Q26" s="3" t="n">
        <v>1275</v>
      </c>
      <c r="R26" s="21"/>
      <c r="X26" s="26" t="s">
        <v>117</v>
      </c>
      <c r="Y26" s="26" t="s">
        <v>120</v>
      </c>
      <c r="Z26" s="26" t="s">
        <v>127</v>
      </c>
      <c r="AA26" s="23" t="s">
        <v>130</v>
      </c>
      <c r="AB26" s="23" t="s">
        <v>246</v>
      </c>
      <c r="AC26" s="23"/>
      <c r="AD26" s="23"/>
      <c r="AE26" s="23"/>
      <c r="AF26" s="22"/>
      <c r="AG26" s="22"/>
      <c r="AH26" s="22"/>
      <c r="AI26" s="22"/>
      <c r="AJ26" s="22"/>
      <c r="AK26" s="3" t="s">
        <v>243</v>
      </c>
      <c r="AL26" s="3" t="s">
        <v>247</v>
      </c>
      <c r="AM26" s="3" t="s">
        <v>136</v>
      </c>
      <c r="AR26" s="21" t="s">
        <v>117</v>
      </c>
      <c r="AS26" s="21" t="s">
        <v>245</v>
      </c>
      <c r="AT26" s="3" t="n">
        <v>1275</v>
      </c>
      <c r="AU26" s="3" t="s">
        <v>227</v>
      </c>
      <c r="AV26" s="3" t="s">
        <v>228</v>
      </c>
      <c r="AW26" s="3" t="s">
        <v>228</v>
      </c>
      <c r="AX26" s="3" t="s">
        <v>117</v>
      </c>
      <c r="AY26" s="3" t="n">
        <v>2</v>
      </c>
      <c r="AZ26" s="26" t="s">
        <v>120</v>
      </c>
      <c r="BA26" s="3" t="n">
        <v>2</v>
      </c>
      <c r="BB26" s="26" t="s">
        <v>127</v>
      </c>
      <c r="BC26" s="26" t="s">
        <v>130</v>
      </c>
      <c r="BD26" s="23"/>
    </row>
    <row r="27" customFormat="false" ht="15" hidden="false" customHeight="true" outlineLevel="0" collapsed="false">
      <c r="A27" s="19" t="s">
        <v>215</v>
      </c>
      <c r="B27" s="19" t="s">
        <v>248</v>
      </c>
      <c r="C27" s="20" t="n">
        <v>2</v>
      </c>
      <c r="D27" s="21" t="s">
        <v>117</v>
      </c>
      <c r="E27" s="21" t="s">
        <v>192</v>
      </c>
      <c r="F27" s="21" t="s">
        <v>249</v>
      </c>
      <c r="G27" s="21" t="s">
        <v>250</v>
      </c>
      <c r="H27" s="21" t="s">
        <v>120</v>
      </c>
      <c r="I27" s="21" t="s">
        <v>62</v>
      </c>
      <c r="J27" s="21" t="s">
        <v>251</v>
      </c>
      <c r="K27" s="15" t="n">
        <v>600</v>
      </c>
      <c r="L27" s="3" t="n">
        <v>4</v>
      </c>
      <c r="M27" s="16" t="n">
        <v>150</v>
      </c>
      <c r="N27" s="3" t="n">
        <v>75</v>
      </c>
      <c r="O27" s="3" t="n">
        <v>420</v>
      </c>
      <c r="P27" s="3" t="n">
        <v>1200</v>
      </c>
      <c r="Q27" s="3" t="n">
        <v>1350</v>
      </c>
      <c r="R27" s="21"/>
      <c r="X27" s="26" t="s">
        <v>117</v>
      </c>
      <c r="Y27" s="26" t="s">
        <v>120</v>
      </c>
      <c r="Z27" s="26" t="s">
        <v>127</v>
      </c>
      <c r="AA27" s="23" t="s">
        <v>130</v>
      </c>
      <c r="AB27" s="23" t="s">
        <v>243</v>
      </c>
      <c r="AC27" s="23"/>
      <c r="AD27" s="23"/>
      <c r="AE27" s="23"/>
      <c r="AF27" s="22"/>
      <c r="AG27" s="22"/>
      <c r="AH27" s="22"/>
      <c r="AI27" s="22"/>
      <c r="AJ27" s="22"/>
      <c r="AK27" s="3" t="s">
        <v>136</v>
      </c>
      <c r="AL27" s="3" t="s">
        <v>252</v>
      </c>
      <c r="AM27" s="3" t="s">
        <v>139</v>
      </c>
      <c r="AR27" s="21" t="s">
        <v>117</v>
      </c>
      <c r="AS27" s="21" t="s">
        <v>249</v>
      </c>
      <c r="AT27" s="3" t="n">
        <v>1350</v>
      </c>
      <c r="AU27" s="3" t="s">
        <v>227</v>
      </c>
      <c r="AV27" s="3" t="s">
        <v>228</v>
      </c>
      <c r="AW27" s="3" t="s">
        <v>228</v>
      </c>
      <c r="AX27" s="26" t="s">
        <v>117</v>
      </c>
      <c r="AY27" s="3" t="n">
        <v>2</v>
      </c>
      <c r="AZ27" s="26" t="s">
        <v>120</v>
      </c>
      <c r="BA27" s="3" t="n">
        <v>2</v>
      </c>
      <c r="BB27" s="26" t="s">
        <v>127</v>
      </c>
      <c r="BC27" s="23" t="s">
        <v>130</v>
      </c>
      <c r="BD27" s="26"/>
    </row>
    <row r="28" customFormat="false" ht="15" hidden="false" customHeight="true" outlineLevel="0" collapsed="false">
      <c r="A28" s="19" t="s">
        <v>215</v>
      </c>
      <c r="B28" s="19" t="s">
        <v>253</v>
      </c>
      <c r="C28" s="20" t="n">
        <v>2</v>
      </c>
      <c r="D28" s="21" t="s">
        <v>117</v>
      </c>
      <c r="E28" s="21" t="s">
        <v>192</v>
      </c>
      <c r="F28" s="21" t="s">
        <v>254</v>
      </c>
      <c r="G28" s="21" t="s">
        <v>255</v>
      </c>
      <c r="H28" s="21" t="s">
        <v>120</v>
      </c>
      <c r="I28" s="21" t="s">
        <v>62</v>
      </c>
      <c r="J28" s="21" t="s">
        <v>251</v>
      </c>
      <c r="K28" s="15" t="n">
        <v>900</v>
      </c>
      <c r="L28" s="3" t="n">
        <v>6</v>
      </c>
      <c r="M28" s="16" t="n">
        <v>150</v>
      </c>
      <c r="N28" s="3" t="n">
        <v>75</v>
      </c>
      <c r="O28" s="3" t="n">
        <v>630</v>
      </c>
      <c r="P28" s="3" t="n">
        <v>1200</v>
      </c>
      <c r="Q28" s="3" t="n">
        <v>1575</v>
      </c>
      <c r="R28" s="21"/>
      <c r="X28" s="26" t="s">
        <v>117</v>
      </c>
      <c r="Y28" s="26" t="s">
        <v>120</v>
      </c>
      <c r="Z28" s="26" t="s">
        <v>127</v>
      </c>
      <c r="AA28" s="23" t="s">
        <v>130</v>
      </c>
      <c r="AB28" s="23" t="s">
        <v>243</v>
      </c>
      <c r="AC28" s="23" t="s">
        <v>136</v>
      </c>
      <c r="AD28" s="23"/>
      <c r="AE28" s="23"/>
      <c r="AF28" s="23"/>
      <c r="AG28" s="23"/>
      <c r="AH28" s="22"/>
      <c r="AI28" s="22"/>
      <c r="AJ28" s="22"/>
      <c r="AK28" s="3" t="s">
        <v>252</v>
      </c>
      <c r="AL28" s="3" t="s">
        <v>139</v>
      </c>
      <c r="AM28" s="3" t="s">
        <v>256</v>
      </c>
      <c r="AN28" s="3" t="s">
        <v>257</v>
      </c>
      <c r="AR28" s="21" t="s">
        <v>117</v>
      </c>
      <c r="AS28" s="21" t="s">
        <v>254</v>
      </c>
      <c r="AT28" s="3" t="n">
        <v>1575</v>
      </c>
      <c r="AU28" s="3" t="s">
        <v>227</v>
      </c>
      <c r="AV28" s="3" t="s">
        <v>228</v>
      </c>
      <c r="AW28" s="3" t="s">
        <v>228</v>
      </c>
      <c r="AX28" s="26" t="s">
        <v>117</v>
      </c>
      <c r="AY28" s="3" t="n">
        <v>2</v>
      </c>
      <c r="AZ28" s="26" t="s">
        <v>120</v>
      </c>
      <c r="BA28" s="3" t="n">
        <v>2</v>
      </c>
      <c r="BB28" s="26" t="s">
        <v>127</v>
      </c>
      <c r="BC28" s="23" t="s">
        <v>130</v>
      </c>
      <c r="BD28" s="26"/>
    </row>
    <row r="29" customFormat="false" ht="15" hidden="false" customHeight="true" outlineLevel="0" collapsed="false">
      <c r="A29" s="12" t="s">
        <v>258</v>
      </c>
      <c r="B29" s="12" t="s">
        <v>259</v>
      </c>
      <c r="C29" s="13" t="n">
        <v>2</v>
      </c>
      <c r="D29" s="14" t="s">
        <v>162</v>
      </c>
      <c r="E29" s="14" t="s">
        <v>82</v>
      </c>
      <c r="F29" s="14" t="s">
        <v>260</v>
      </c>
      <c r="G29" s="14" t="s">
        <v>167</v>
      </c>
      <c r="H29" s="14" t="s">
        <v>162</v>
      </c>
      <c r="I29" s="14" t="s">
        <v>62</v>
      </c>
      <c r="J29" s="14" t="s">
        <v>78</v>
      </c>
      <c r="K29" s="15" t="n">
        <v>100</v>
      </c>
      <c r="L29" s="3" t="n">
        <v>6.67</v>
      </c>
      <c r="M29" s="16" t="n">
        <v>15</v>
      </c>
      <c r="N29" s="3" t="n">
        <v>80</v>
      </c>
      <c r="O29" s="3" t="n">
        <v>70</v>
      </c>
      <c r="P29" s="3" t="n">
        <v>150</v>
      </c>
      <c r="Q29" s="3" t="n">
        <v>200</v>
      </c>
      <c r="S29" s="26"/>
      <c r="T29" s="31"/>
      <c r="U29" s="26"/>
      <c r="V29" s="3" t="s">
        <v>162</v>
      </c>
      <c r="W29" s="26" t="s">
        <v>101</v>
      </c>
      <c r="X29" s="26" t="s">
        <v>261</v>
      </c>
      <c r="Y29" s="26" t="s">
        <v>99</v>
      </c>
      <c r="Z29" s="26" t="s">
        <v>262</v>
      </c>
      <c r="AA29" s="17" t="s">
        <v>102</v>
      </c>
      <c r="AB29" s="17" t="s">
        <v>263</v>
      </c>
      <c r="AC29" s="17" t="s">
        <v>264</v>
      </c>
      <c r="AD29" s="17" t="s">
        <v>265</v>
      </c>
      <c r="AE29" s="17"/>
      <c r="AF29" s="18"/>
      <c r="AG29" s="18"/>
      <c r="AH29" s="18"/>
      <c r="AI29" s="18"/>
      <c r="AJ29" s="18"/>
      <c r="AK29" s="3" t="s">
        <v>266</v>
      </c>
      <c r="AL29" s="3" t="s">
        <v>207</v>
      </c>
      <c r="AM29" s="3" t="s">
        <v>267</v>
      </c>
      <c r="AR29" s="14" t="s">
        <v>162</v>
      </c>
      <c r="AS29" s="14" t="s">
        <v>260</v>
      </c>
      <c r="AT29" s="3" t="n">
        <v>200</v>
      </c>
      <c r="AU29" s="3" t="s">
        <v>268</v>
      </c>
      <c r="AV29" s="3" t="s">
        <v>269</v>
      </c>
      <c r="AW29" s="3" t="s">
        <v>270</v>
      </c>
      <c r="AX29" s="31" t="s">
        <v>162</v>
      </c>
      <c r="AY29" s="3" t="n">
        <v>1</v>
      </c>
      <c r="AZ29" s="26" t="s">
        <v>101</v>
      </c>
      <c r="BA29" s="3" t="n">
        <v>2</v>
      </c>
      <c r="BB29" s="3" t="s">
        <v>261</v>
      </c>
      <c r="BC29" s="26" t="s">
        <v>99</v>
      </c>
      <c r="BD29" s="26" t="s">
        <v>262</v>
      </c>
      <c r="BE29" s="26" t="s">
        <v>102</v>
      </c>
      <c r="BF29" s="26"/>
      <c r="BG29" s="17"/>
      <c r="BH29" s="12"/>
    </row>
    <row r="30" customFormat="false" ht="15" hidden="false" customHeight="true" outlineLevel="0" collapsed="false">
      <c r="A30" s="12" t="s">
        <v>258</v>
      </c>
      <c r="B30" s="12" t="s">
        <v>271</v>
      </c>
      <c r="C30" s="13" t="n">
        <v>2</v>
      </c>
      <c r="D30" s="14" t="s">
        <v>162</v>
      </c>
      <c r="E30" s="14" t="s">
        <v>82</v>
      </c>
      <c r="F30" s="14" t="s">
        <v>272</v>
      </c>
      <c r="G30" s="14" t="s">
        <v>192</v>
      </c>
      <c r="H30" s="14" t="s">
        <v>162</v>
      </c>
      <c r="I30" s="14" t="s">
        <v>62</v>
      </c>
      <c r="J30" s="14" t="s">
        <v>78</v>
      </c>
      <c r="K30" s="15" t="n">
        <v>100</v>
      </c>
      <c r="L30" s="3" t="n">
        <v>4</v>
      </c>
      <c r="M30" s="16" t="n">
        <v>25</v>
      </c>
      <c r="N30" s="3" t="n">
        <v>80</v>
      </c>
      <c r="O30" s="3" t="n">
        <v>70</v>
      </c>
      <c r="P30" s="3" t="n">
        <v>200</v>
      </c>
      <c r="Q30" s="3" t="n">
        <v>240</v>
      </c>
      <c r="R30" s="14"/>
      <c r="S30" s="26"/>
      <c r="T30" s="26" t="s">
        <v>162</v>
      </c>
      <c r="U30" s="26" t="s">
        <v>101</v>
      </c>
      <c r="V30" s="26" t="s">
        <v>261</v>
      </c>
      <c r="W30" s="26" t="s">
        <v>99</v>
      </c>
      <c r="X30" s="26" t="s">
        <v>262</v>
      </c>
      <c r="Y30" s="26" t="s">
        <v>102</v>
      </c>
      <c r="Z30" s="26" t="s">
        <v>273</v>
      </c>
      <c r="AA30" s="17" t="s">
        <v>103</v>
      </c>
      <c r="AB30" s="17" t="s">
        <v>207</v>
      </c>
      <c r="AC30" s="17"/>
      <c r="AD30" s="17"/>
      <c r="AE30" s="18"/>
      <c r="AF30" s="18"/>
      <c r="AG30" s="18"/>
      <c r="AH30" s="18"/>
      <c r="AI30" s="18"/>
      <c r="AJ30" s="18"/>
      <c r="AK30" s="3" t="s">
        <v>185</v>
      </c>
      <c r="AL30" s="3" t="s">
        <v>208</v>
      </c>
      <c r="AM30" s="3" t="s">
        <v>117</v>
      </c>
      <c r="AR30" s="14" t="s">
        <v>162</v>
      </c>
      <c r="AS30" s="14" t="s">
        <v>272</v>
      </c>
      <c r="AT30" s="3" t="n">
        <v>240</v>
      </c>
      <c r="AU30" s="3" t="s">
        <v>268</v>
      </c>
      <c r="AV30" s="3" t="s">
        <v>269</v>
      </c>
      <c r="AW30" s="3" t="s">
        <v>270</v>
      </c>
      <c r="AX30" s="26" t="s">
        <v>162</v>
      </c>
      <c r="AY30" s="3" t="n">
        <v>1</v>
      </c>
      <c r="AZ30" s="26" t="s">
        <v>101</v>
      </c>
      <c r="BA30" s="3" t="n">
        <v>2</v>
      </c>
      <c r="BB30" s="26" t="s">
        <v>261</v>
      </c>
      <c r="BC30" s="26" t="s">
        <v>99</v>
      </c>
      <c r="BD30" s="26" t="s">
        <v>262</v>
      </c>
      <c r="BE30" s="26" t="s">
        <v>102</v>
      </c>
      <c r="BF30" s="26" t="s">
        <v>273</v>
      </c>
      <c r="BG30" s="17" t="s">
        <v>103</v>
      </c>
      <c r="BH30" s="12"/>
    </row>
    <row r="31" customFormat="false" ht="45" hidden="false" customHeight="true" outlineLevel="0" collapsed="false">
      <c r="A31" s="12" t="s">
        <v>258</v>
      </c>
      <c r="B31" s="12" t="s">
        <v>274</v>
      </c>
      <c r="C31" s="13" t="n">
        <v>2</v>
      </c>
      <c r="D31" s="14" t="s">
        <v>162</v>
      </c>
      <c r="E31" s="14" t="s">
        <v>82</v>
      </c>
      <c r="F31" s="14" t="s">
        <v>275</v>
      </c>
      <c r="G31" s="14" t="s">
        <v>276</v>
      </c>
      <c r="H31" s="14" t="s">
        <v>162</v>
      </c>
      <c r="I31" s="14" t="s">
        <v>62</v>
      </c>
      <c r="J31" s="14" t="s">
        <v>78</v>
      </c>
      <c r="K31" s="15" t="n">
        <v>150</v>
      </c>
      <c r="L31" s="3" t="n">
        <v>6</v>
      </c>
      <c r="M31" s="16" t="n">
        <v>25</v>
      </c>
      <c r="N31" s="3" t="n">
        <v>80</v>
      </c>
      <c r="O31" s="3" t="n">
        <v>105</v>
      </c>
      <c r="P31" s="3" t="n">
        <v>200</v>
      </c>
      <c r="Q31" s="3" t="n">
        <v>280</v>
      </c>
      <c r="R31" s="14"/>
      <c r="S31" s="26"/>
      <c r="T31" s="26" t="s">
        <v>162</v>
      </c>
      <c r="U31" s="26" t="s">
        <v>101</v>
      </c>
      <c r="V31" s="26" t="s">
        <v>261</v>
      </c>
      <c r="W31" s="26" t="s">
        <v>99</v>
      </c>
      <c r="X31" s="26" t="s">
        <v>262</v>
      </c>
      <c r="Y31" s="26" t="s">
        <v>102</v>
      </c>
      <c r="Z31" s="26" t="s">
        <v>273</v>
      </c>
      <c r="AA31" s="17" t="s">
        <v>103</v>
      </c>
      <c r="AB31" s="17" t="s">
        <v>207</v>
      </c>
      <c r="AC31" s="17" t="s">
        <v>185</v>
      </c>
      <c r="AD31" s="17" t="s">
        <v>208</v>
      </c>
      <c r="AE31" s="17"/>
      <c r="AF31" s="18"/>
      <c r="AG31" s="18"/>
      <c r="AH31" s="18"/>
      <c r="AI31" s="18"/>
      <c r="AJ31" s="18"/>
      <c r="AK31" s="3" t="s">
        <v>117</v>
      </c>
      <c r="AL31" s="3" t="s">
        <v>209</v>
      </c>
      <c r="AM31" s="3" t="s">
        <v>186</v>
      </c>
      <c r="AR31" s="14" t="s">
        <v>162</v>
      </c>
      <c r="AS31" s="14" t="s">
        <v>275</v>
      </c>
      <c r="AT31" s="3" t="n">
        <v>280</v>
      </c>
      <c r="AU31" s="3" t="s">
        <v>268</v>
      </c>
      <c r="AV31" s="3" t="s">
        <v>269</v>
      </c>
      <c r="AW31" s="3" t="s">
        <v>270</v>
      </c>
      <c r="AX31" s="26" t="s">
        <v>162</v>
      </c>
      <c r="AY31" s="3" t="n">
        <v>1</v>
      </c>
      <c r="AZ31" s="26" t="s">
        <v>101</v>
      </c>
      <c r="BA31" s="3" t="n">
        <v>2</v>
      </c>
      <c r="BB31" s="26" t="s">
        <v>261</v>
      </c>
      <c r="BC31" s="26" t="s">
        <v>99</v>
      </c>
      <c r="BD31" s="26" t="s">
        <v>262</v>
      </c>
      <c r="BE31" s="26" t="s">
        <v>102</v>
      </c>
      <c r="BF31" s="26" t="s">
        <v>273</v>
      </c>
      <c r="BG31" s="17" t="s">
        <v>103</v>
      </c>
      <c r="BH31" s="12"/>
    </row>
    <row r="32" customFormat="false" ht="30" hidden="false" customHeight="true" outlineLevel="0" collapsed="false">
      <c r="A32" s="12" t="s">
        <v>258</v>
      </c>
      <c r="B32" s="12" t="s">
        <v>277</v>
      </c>
      <c r="C32" s="13" t="n">
        <v>2</v>
      </c>
      <c r="D32" s="14" t="s">
        <v>101</v>
      </c>
      <c r="E32" s="14" t="s">
        <v>78</v>
      </c>
      <c r="F32" s="14" t="s">
        <v>278</v>
      </c>
      <c r="G32" s="14" t="s">
        <v>124</v>
      </c>
      <c r="H32" s="14" t="s">
        <v>101</v>
      </c>
      <c r="I32" s="14" t="s">
        <v>62</v>
      </c>
      <c r="J32" s="14" t="s">
        <v>78</v>
      </c>
      <c r="K32" s="15" t="n">
        <v>150</v>
      </c>
      <c r="L32" s="3" t="n">
        <v>6</v>
      </c>
      <c r="M32" s="16" t="n">
        <v>25</v>
      </c>
      <c r="N32" s="3" t="n">
        <v>80</v>
      </c>
      <c r="O32" s="3" t="n">
        <v>105</v>
      </c>
      <c r="P32" s="3" t="n">
        <v>250</v>
      </c>
      <c r="Q32" s="3" t="n">
        <v>320</v>
      </c>
      <c r="R32" s="14"/>
      <c r="T32" s="26"/>
      <c r="U32" s="26"/>
      <c r="V32" s="26"/>
      <c r="W32" s="26" t="s">
        <v>101</v>
      </c>
      <c r="X32" s="26" t="s">
        <v>99</v>
      </c>
      <c r="Y32" s="26" t="s">
        <v>102</v>
      </c>
      <c r="Z32" s="26" t="s">
        <v>103</v>
      </c>
      <c r="AA32" s="17" t="s">
        <v>185</v>
      </c>
      <c r="AB32" s="17" t="s">
        <v>208</v>
      </c>
      <c r="AC32" s="17" t="s">
        <v>117</v>
      </c>
      <c r="AD32" s="17"/>
      <c r="AE32" s="17"/>
      <c r="AF32" s="18"/>
      <c r="AG32" s="18"/>
      <c r="AH32" s="18"/>
      <c r="AI32" s="18"/>
      <c r="AJ32" s="18"/>
      <c r="AK32" s="3" t="s">
        <v>209</v>
      </c>
      <c r="AL32" s="3" t="s">
        <v>186</v>
      </c>
      <c r="AM32" s="3" t="s">
        <v>210</v>
      </c>
      <c r="AN32" s="3" t="s">
        <v>118</v>
      </c>
      <c r="AR32" s="14" t="s">
        <v>101</v>
      </c>
      <c r="AS32" s="14" t="s">
        <v>278</v>
      </c>
      <c r="AT32" s="3" t="n">
        <v>320</v>
      </c>
      <c r="AU32" s="3" t="s">
        <v>268</v>
      </c>
      <c r="AV32" s="3" t="s">
        <v>269</v>
      </c>
      <c r="AW32" s="3" t="s">
        <v>270</v>
      </c>
      <c r="AX32" s="26" t="s">
        <v>101</v>
      </c>
      <c r="AY32" s="3" t="n">
        <v>2</v>
      </c>
      <c r="AZ32" s="26" t="s">
        <v>99</v>
      </c>
      <c r="BA32" s="3" t="n">
        <v>2</v>
      </c>
      <c r="BB32" s="26" t="s">
        <v>102</v>
      </c>
      <c r="BC32" s="26" t="s">
        <v>103</v>
      </c>
      <c r="BD32" s="26" t="s">
        <v>185</v>
      </c>
      <c r="BE32" s="26"/>
      <c r="BF32" s="26"/>
      <c r="BG32" s="17"/>
      <c r="BH32" s="12"/>
    </row>
    <row r="33" customFormat="false" ht="30" hidden="false" customHeight="true" outlineLevel="0" collapsed="false">
      <c r="A33" s="19" t="s">
        <v>279</v>
      </c>
      <c r="B33" s="19" t="s">
        <v>57</v>
      </c>
      <c r="C33" s="20" t="n">
        <v>2</v>
      </c>
      <c r="D33" s="21" t="s">
        <v>58</v>
      </c>
      <c r="E33" s="21" t="s">
        <v>59</v>
      </c>
      <c r="F33" s="21" t="s">
        <v>60</v>
      </c>
      <c r="G33" s="21" t="s">
        <v>61</v>
      </c>
      <c r="H33" s="21" t="s">
        <v>58</v>
      </c>
      <c r="I33" s="21" t="s">
        <v>62</v>
      </c>
      <c r="J33" s="21" t="s">
        <v>213</v>
      </c>
      <c r="K33" s="15" t="n">
        <v>30</v>
      </c>
      <c r="L33" s="3" t="n">
        <v>6</v>
      </c>
      <c r="M33" s="16" t="n">
        <v>5</v>
      </c>
      <c r="N33" s="3" t="n">
        <v>75</v>
      </c>
      <c r="O33" s="3" t="n">
        <v>18</v>
      </c>
      <c r="P33" s="3" t="n">
        <v>30</v>
      </c>
      <c r="Q33" s="3" t="n">
        <v>45</v>
      </c>
      <c r="R33" s="21"/>
      <c r="V33" s="26"/>
      <c r="W33" s="26" t="s">
        <v>58</v>
      </c>
      <c r="X33" s="26" t="s">
        <v>109</v>
      </c>
      <c r="Y33" s="26" t="s">
        <v>63</v>
      </c>
      <c r="Z33" s="26" t="s">
        <v>110</v>
      </c>
      <c r="AA33" s="23" t="s">
        <v>64</v>
      </c>
      <c r="AB33" s="23" t="s">
        <v>65</v>
      </c>
      <c r="AC33" s="23" t="s">
        <v>66</v>
      </c>
      <c r="AD33" s="23" t="s">
        <v>67</v>
      </c>
      <c r="AE33" s="22"/>
      <c r="AF33" s="22"/>
      <c r="AG33" s="22"/>
      <c r="AH33" s="22"/>
      <c r="AI33" s="22"/>
      <c r="AJ33" s="22"/>
      <c r="AK33" s="3" t="s">
        <v>68</v>
      </c>
      <c r="AL33" s="3" t="s">
        <v>69</v>
      </c>
      <c r="AM33" s="3" t="s">
        <v>70</v>
      </c>
      <c r="AR33" s="21" t="s">
        <v>58</v>
      </c>
      <c r="AS33" s="21" t="s">
        <v>60</v>
      </c>
      <c r="AT33" s="3" t="n">
        <v>45</v>
      </c>
      <c r="AU33" s="3" t="s">
        <v>171</v>
      </c>
      <c r="AV33" s="3" t="s">
        <v>280</v>
      </c>
      <c r="AW33" s="3" t="s">
        <v>281</v>
      </c>
      <c r="AX33" s="26" t="s">
        <v>58</v>
      </c>
      <c r="AY33" s="3" t="n">
        <v>1</v>
      </c>
      <c r="AZ33" s="26" t="s">
        <v>109</v>
      </c>
      <c r="BA33" s="3" t="n">
        <v>2</v>
      </c>
      <c r="BB33" s="26" t="s">
        <v>63</v>
      </c>
      <c r="BC33" s="26" t="s">
        <v>110</v>
      </c>
      <c r="BD33" s="23" t="s">
        <v>64</v>
      </c>
    </row>
    <row r="34" customFormat="false" ht="30" hidden="false" customHeight="true" outlineLevel="0" collapsed="false">
      <c r="A34" s="12" t="s">
        <v>282</v>
      </c>
      <c r="B34" s="12" t="s">
        <v>283</v>
      </c>
      <c r="C34" s="13" t="n">
        <v>2</v>
      </c>
      <c r="D34" s="14" t="s">
        <v>96</v>
      </c>
      <c r="E34" s="14" t="s">
        <v>108</v>
      </c>
      <c r="F34" s="14" t="s">
        <v>284</v>
      </c>
      <c r="G34" s="14" t="s">
        <v>213</v>
      </c>
      <c r="H34" s="14" t="s">
        <v>285</v>
      </c>
      <c r="I34" s="14" t="s">
        <v>62</v>
      </c>
      <c r="J34" s="14" t="s">
        <v>82</v>
      </c>
      <c r="K34" s="15" t="n">
        <v>3</v>
      </c>
      <c r="L34" s="3" t="n">
        <v>6</v>
      </c>
      <c r="M34" s="16" t="n">
        <v>0.5</v>
      </c>
      <c r="N34" s="3" t="n">
        <v>85</v>
      </c>
      <c r="O34" s="3" t="n">
        <v>2.1</v>
      </c>
      <c r="P34" s="3" t="n">
        <v>5</v>
      </c>
      <c r="Q34" s="3" t="n">
        <v>6.8</v>
      </c>
      <c r="U34" s="3" t="s">
        <v>96</v>
      </c>
      <c r="V34" s="31" t="s">
        <v>81</v>
      </c>
      <c r="W34" s="26" t="s">
        <v>94</v>
      </c>
      <c r="X34" s="26" t="s">
        <v>88</v>
      </c>
      <c r="Y34" s="26" t="s">
        <v>77</v>
      </c>
      <c r="Z34" s="26" t="s">
        <v>286</v>
      </c>
      <c r="AA34" s="17" t="s">
        <v>92</v>
      </c>
      <c r="AB34" s="17" t="s">
        <v>199</v>
      </c>
      <c r="AC34" s="17" t="s">
        <v>84</v>
      </c>
      <c r="AD34" s="17" t="s">
        <v>200</v>
      </c>
      <c r="AE34" s="17"/>
      <c r="AF34" s="18"/>
      <c r="AG34" s="18"/>
      <c r="AH34" s="18"/>
      <c r="AI34" s="18"/>
      <c r="AJ34" s="18"/>
      <c r="AK34" s="3" t="s">
        <v>176</v>
      </c>
      <c r="AL34" s="3" t="s">
        <v>201</v>
      </c>
      <c r="AM34" s="3" t="s">
        <v>177</v>
      </c>
      <c r="AR34" s="14" t="s">
        <v>96</v>
      </c>
      <c r="AS34" s="14" t="s">
        <v>284</v>
      </c>
      <c r="AT34" s="3" t="n">
        <v>6.8</v>
      </c>
      <c r="AU34" s="3" t="s">
        <v>111</v>
      </c>
      <c r="AV34" s="3" t="s">
        <v>287</v>
      </c>
      <c r="AX34" s="3" t="s">
        <v>96</v>
      </c>
      <c r="AY34" s="3" t="n">
        <v>1</v>
      </c>
      <c r="AZ34" s="3" t="s">
        <v>81</v>
      </c>
      <c r="BA34" s="3" t="n">
        <v>2</v>
      </c>
      <c r="BB34" s="3" t="s">
        <v>94</v>
      </c>
      <c r="BC34" s="31" t="s">
        <v>88</v>
      </c>
      <c r="BD34" s="26" t="s">
        <v>77</v>
      </c>
      <c r="BE34" s="26" t="s">
        <v>286</v>
      </c>
      <c r="BF34" s="26"/>
      <c r="BG34" s="26"/>
      <c r="BH34" s="17"/>
    </row>
    <row r="35" customFormat="false" ht="27.75" hidden="false" customHeight="true" outlineLevel="0" collapsed="false">
      <c r="A35" s="12" t="s">
        <v>282</v>
      </c>
      <c r="B35" s="12" t="s">
        <v>288</v>
      </c>
      <c r="C35" s="13" t="n">
        <v>2</v>
      </c>
      <c r="D35" s="14" t="s">
        <v>289</v>
      </c>
      <c r="E35" s="14" t="s">
        <v>108</v>
      </c>
      <c r="F35" s="14" t="s">
        <v>284</v>
      </c>
      <c r="G35" s="14" t="s">
        <v>213</v>
      </c>
      <c r="H35" s="14" t="s">
        <v>285</v>
      </c>
      <c r="I35" s="14" t="s">
        <v>62</v>
      </c>
      <c r="J35" s="14" t="s">
        <v>78</v>
      </c>
      <c r="K35" s="15" t="n">
        <v>3</v>
      </c>
      <c r="L35" s="3" t="n">
        <v>6</v>
      </c>
      <c r="M35" s="16" t="n">
        <v>0.5</v>
      </c>
      <c r="N35" s="3" t="n">
        <v>85</v>
      </c>
      <c r="O35" s="3" t="n">
        <v>2.1</v>
      </c>
      <c r="P35" s="3" t="n">
        <v>5</v>
      </c>
      <c r="Q35" s="3" t="n">
        <v>6.8</v>
      </c>
      <c r="R35" s="14"/>
      <c r="T35" s="3" t="s">
        <v>289</v>
      </c>
      <c r="U35" s="3" t="s">
        <v>96</v>
      </c>
      <c r="V35" s="26" t="s">
        <v>81</v>
      </c>
      <c r="W35" s="26" t="s">
        <v>94</v>
      </c>
      <c r="X35" s="26" t="s">
        <v>88</v>
      </c>
      <c r="Y35" s="26" t="s">
        <v>77</v>
      </c>
      <c r="Z35" s="26" t="s">
        <v>286</v>
      </c>
      <c r="AA35" s="17" t="s">
        <v>92</v>
      </c>
      <c r="AB35" s="17" t="s">
        <v>199</v>
      </c>
      <c r="AC35" s="17" t="s">
        <v>84</v>
      </c>
      <c r="AD35" s="17" t="s">
        <v>200</v>
      </c>
      <c r="AE35" s="17"/>
      <c r="AF35" s="18"/>
      <c r="AG35" s="18"/>
      <c r="AH35" s="18"/>
      <c r="AI35" s="18"/>
      <c r="AJ35" s="18"/>
      <c r="AK35" s="3" t="s">
        <v>176</v>
      </c>
      <c r="AL35" s="3" t="s">
        <v>201</v>
      </c>
      <c r="AM35" s="3" t="s">
        <v>177</v>
      </c>
      <c r="AR35" s="14" t="s">
        <v>289</v>
      </c>
      <c r="AS35" s="14" t="s">
        <v>284</v>
      </c>
      <c r="AT35" s="3" t="n">
        <v>6.8</v>
      </c>
      <c r="AU35" s="3" t="s">
        <v>111</v>
      </c>
      <c r="AV35" s="3" t="s">
        <v>287</v>
      </c>
      <c r="AX35" s="3" t="s">
        <v>289</v>
      </c>
      <c r="AY35" s="3" t="n">
        <v>1</v>
      </c>
      <c r="AZ35" s="3" t="s">
        <v>96</v>
      </c>
      <c r="BA35" s="3" t="n">
        <v>2</v>
      </c>
      <c r="BB35" s="3" t="s">
        <v>81</v>
      </c>
      <c r="BC35" s="26" t="s">
        <v>94</v>
      </c>
      <c r="BD35" s="26" t="s">
        <v>88</v>
      </c>
      <c r="BE35" s="26" t="s">
        <v>77</v>
      </c>
      <c r="BF35" s="26" t="s">
        <v>286</v>
      </c>
      <c r="BG35" s="26"/>
      <c r="BH35" s="17"/>
    </row>
    <row r="36" customFormat="false" ht="15" hidden="false" customHeight="true" outlineLevel="0" collapsed="false">
      <c r="A36" s="12" t="s">
        <v>282</v>
      </c>
      <c r="B36" s="12" t="s">
        <v>212</v>
      </c>
      <c r="C36" s="13" t="n">
        <v>2</v>
      </c>
      <c r="D36" s="14" t="s">
        <v>99</v>
      </c>
      <c r="E36" s="14" t="s">
        <v>108</v>
      </c>
      <c r="F36" s="14" t="s">
        <v>290</v>
      </c>
      <c r="G36" s="14" t="s">
        <v>251</v>
      </c>
      <c r="H36" s="14" t="s">
        <v>99</v>
      </c>
      <c r="I36" s="14" t="s">
        <v>291</v>
      </c>
      <c r="J36" s="14" t="s">
        <v>108</v>
      </c>
      <c r="K36" s="15" t="n">
        <v>200</v>
      </c>
      <c r="L36" s="3" t="n">
        <v>4</v>
      </c>
      <c r="M36" s="16" t="n">
        <v>50</v>
      </c>
      <c r="N36" s="3" t="n">
        <v>85</v>
      </c>
      <c r="O36" s="3" t="n">
        <v>140</v>
      </c>
      <c r="P36" s="3" t="n">
        <v>400</v>
      </c>
      <c r="Q36" s="3" t="n">
        <v>510</v>
      </c>
      <c r="V36" s="26"/>
      <c r="W36" s="31"/>
      <c r="X36" s="26" t="s">
        <v>99</v>
      </c>
      <c r="Y36" s="26" t="s">
        <v>103</v>
      </c>
      <c r="Z36" s="26" t="s">
        <v>117</v>
      </c>
      <c r="AA36" s="17" t="s">
        <v>118</v>
      </c>
      <c r="AB36" s="17" t="s">
        <v>236</v>
      </c>
      <c r="AC36" s="17" t="s">
        <v>119</v>
      </c>
      <c r="AD36" s="18"/>
      <c r="AE36" s="18"/>
      <c r="AF36" s="18"/>
      <c r="AG36" s="18"/>
      <c r="AH36" s="18"/>
      <c r="AI36" s="18"/>
      <c r="AJ36" s="18"/>
      <c r="AK36" s="3" t="s">
        <v>292</v>
      </c>
      <c r="AL36" s="3" t="s">
        <v>120</v>
      </c>
      <c r="AR36" s="14" t="s">
        <v>99</v>
      </c>
      <c r="AS36" s="14" t="s">
        <v>290</v>
      </c>
      <c r="AT36" s="3" t="n">
        <v>510</v>
      </c>
      <c r="AU36" s="3" t="s">
        <v>111</v>
      </c>
      <c r="AV36" s="3" t="s">
        <v>287</v>
      </c>
      <c r="AX36" s="3" t="s">
        <v>99</v>
      </c>
      <c r="AY36" s="3" t="n">
        <v>1</v>
      </c>
      <c r="AZ36" s="3" t="s">
        <v>103</v>
      </c>
      <c r="BA36" s="3" t="n">
        <v>2</v>
      </c>
      <c r="BB36" s="3" t="s">
        <v>117</v>
      </c>
      <c r="BC36" s="26" t="s">
        <v>118</v>
      </c>
      <c r="BD36" s="31"/>
      <c r="BE36" s="26"/>
      <c r="BF36" s="26"/>
      <c r="BG36" s="26"/>
      <c r="BH36" s="17"/>
    </row>
    <row r="37" customFormat="false" ht="16.5" hidden="false" customHeight="true" outlineLevel="0" collapsed="false"/>
    <row r="39" customFormat="false" ht="15" hidden="false" customHeight="true" outlineLevel="0" collapsed="false">
      <c r="A39" s="32" t="s">
        <v>293</v>
      </c>
    </row>
    <row r="40" customFormat="false" ht="15" hidden="false" customHeight="true" outlineLevel="0" collapsed="false"/>
    <row r="41" customFormat="false" ht="15" hidden="false" customHeight="true" outlineLevel="0" collapsed="false">
      <c r="A41" s="1" t="s">
        <v>294</v>
      </c>
    </row>
    <row r="42" customFormat="false" ht="15" hidden="false" customHeight="true" outlineLevel="0" collapsed="false">
      <c r="A42" s="1" t="s">
        <v>295</v>
      </c>
    </row>
    <row r="43" customFormat="false" ht="15" hidden="false" customHeight="true" outlineLevel="0" collapsed="false">
      <c r="A43" s="1" t="s">
        <v>296</v>
      </c>
    </row>
    <row r="44" customFormat="false" ht="15" hidden="false" customHeight="true" outlineLevel="0" collapsed="false">
      <c r="A44" s="1" t="s">
        <v>297</v>
      </c>
    </row>
    <row r="45" customFormat="false" ht="15" hidden="false" customHeight="true" outlineLevel="0" collapsed="false">
      <c r="A45" s="1" t="s">
        <v>298</v>
      </c>
    </row>
    <row r="46" customFormat="false" ht="15" hidden="false" customHeight="true" outlineLevel="0" collapsed="false">
      <c r="A46" s="1" t="s">
        <v>299</v>
      </c>
    </row>
    <row r="47" customFormat="false" ht="15" hidden="false" customHeight="true" outlineLevel="0" collapsed="false">
      <c r="A47" s="1" t="s">
        <v>300</v>
      </c>
    </row>
    <row r="48" customFormat="false" ht="15" hidden="false" customHeight="true" outlineLevel="0" collapsed="false">
      <c r="A48" s="1" t="s">
        <v>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8" min="2" style="1" width="17"/>
  </cols>
  <sheetData>
    <row r="1" customFormat="false" ht="24" hidden="false" customHeight="true" outlineLevel="0" collapsed="false">
      <c r="A1" s="33" t="s">
        <v>302</v>
      </c>
      <c r="B1" s="33"/>
      <c r="C1" s="33"/>
      <c r="D1" s="33"/>
      <c r="E1" s="33"/>
      <c r="F1" s="33"/>
      <c r="G1" s="33"/>
      <c r="H1" s="33"/>
    </row>
    <row r="2" customFormat="false" ht="15" hidden="false" customHeight="true" outlineLevel="0" collapsed="false">
      <c r="A2" s="34" t="s">
        <v>303</v>
      </c>
      <c r="B2" s="34"/>
      <c r="C2" s="34"/>
      <c r="D2" s="34"/>
      <c r="E2" s="34"/>
      <c r="F2" s="34"/>
      <c r="G2" s="34"/>
      <c r="H2" s="34"/>
    </row>
    <row r="3" customFormat="false" ht="15" hidden="false" customHeight="true" outlineLevel="0" collapsed="false">
      <c r="A3" s="34" t="s">
        <v>304</v>
      </c>
      <c r="B3" s="34"/>
      <c r="C3" s="34"/>
      <c r="D3" s="34"/>
      <c r="E3" s="34"/>
      <c r="F3" s="34"/>
      <c r="G3" s="34"/>
      <c r="H3" s="34"/>
    </row>
    <row r="4" customFormat="false" ht="15" hidden="false" customHeight="true" outlineLevel="0" collapsed="false">
      <c r="A4" s="34" t="s">
        <v>305</v>
      </c>
      <c r="B4" s="34"/>
      <c r="C4" s="34"/>
      <c r="D4" s="34"/>
      <c r="E4" s="34"/>
      <c r="F4" s="34"/>
      <c r="G4" s="34"/>
      <c r="H4" s="34"/>
    </row>
    <row r="5" customFormat="false" ht="15" hidden="false" customHeight="true" outlineLevel="0" collapsed="false">
      <c r="A5" s="34" t="s">
        <v>306</v>
      </c>
      <c r="B5" s="34"/>
      <c r="C5" s="34"/>
      <c r="D5" s="34"/>
      <c r="E5" s="34"/>
      <c r="F5" s="34"/>
      <c r="G5" s="34"/>
      <c r="H5" s="34"/>
    </row>
    <row r="6" customFormat="false" ht="15" hidden="false" customHeight="true" outlineLevel="0" collapsed="false"/>
    <row r="7" customFormat="false" ht="15" hidden="false" customHeight="true" outlineLevel="0" collapsed="false">
      <c r="A7" s="35" t="s">
        <v>307</v>
      </c>
      <c r="B7" s="35"/>
      <c r="C7" s="35"/>
      <c r="D7" s="35"/>
      <c r="E7" s="35"/>
      <c r="F7" s="35"/>
      <c r="G7" s="35"/>
      <c r="H7" s="35"/>
    </row>
    <row r="8" customFormat="false" ht="30" hidden="false" customHeight="true" outlineLevel="0" collapsed="false">
      <c r="A8" s="36" t="s">
        <v>308</v>
      </c>
      <c r="B8" s="37" t="s">
        <v>309</v>
      </c>
      <c r="C8" s="37" t="s">
        <v>310</v>
      </c>
      <c r="D8" s="37" t="s">
        <v>311</v>
      </c>
      <c r="E8" s="37" t="s">
        <v>312</v>
      </c>
      <c r="F8" s="37" t="s">
        <v>313</v>
      </c>
      <c r="G8" s="37" t="s">
        <v>314</v>
      </c>
      <c r="H8" s="37" t="s">
        <v>315</v>
      </c>
    </row>
    <row r="9" customFormat="false" ht="21.75" hidden="false" customHeight="true" outlineLevel="0" collapsed="false">
      <c r="A9" s="38" t="s">
        <v>316</v>
      </c>
      <c r="B9" s="39" t="s">
        <v>317</v>
      </c>
      <c r="C9" s="39" t="s">
        <v>318</v>
      </c>
      <c r="D9" s="39" t="s">
        <v>319</v>
      </c>
      <c r="E9" s="39"/>
      <c r="F9" s="39"/>
      <c r="G9" s="39"/>
      <c r="H9" s="39" t="s">
        <v>60</v>
      </c>
    </row>
    <row r="10" customFormat="false" ht="30" hidden="false" customHeight="true" outlineLevel="0" collapsed="false">
      <c r="A10" s="38" t="s">
        <v>320</v>
      </c>
      <c r="B10" s="39" t="s">
        <v>321</v>
      </c>
      <c r="C10" s="39" t="s">
        <v>322</v>
      </c>
      <c r="D10" s="39" t="s">
        <v>323</v>
      </c>
      <c r="E10" s="39"/>
      <c r="F10" s="39"/>
      <c r="G10" s="39"/>
      <c r="H10" s="39" t="s">
        <v>60</v>
      </c>
    </row>
    <row r="11" customFormat="false" ht="30" hidden="false" customHeight="true" outlineLevel="0" collapsed="false">
      <c r="A11" s="38" t="s">
        <v>324</v>
      </c>
      <c r="B11" s="39" t="s">
        <v>325</v>
      </c>
      <c r="C11" s="39" t="s">
        <v>319</v>
      </c>
      <c r="D11" s="39" t="s">
        <v>326</v>
      </c>
      <c r="E11" s="39"/>
      <c r="F11" s="39"/>
      <c r="G11" s="39"/>
      <c r="H11" s="39" t="s">
        <v>60</v>
      </c>
    </row>
    <row r="12" customFormat="false" ht="30" hidden="false" customHeight="true" outlineLevel="0" collapsed="false">
      <c r="A12" s="38" t="s">
        <v>327</v>
      </c>
      <c r="B12" s="39" t="s">
        <v>328</v>
      </c>
      <c r="C12" s="39" t="s">
        <v>323</v>
      </c>
      <c r="D12" s="39" t="s">
        <v>329</v>
      </c>
      <c r="E12" s="39"/>
      <c r="F12" s="39"/>
      <c r="G12" s="39"/>
      <c r="H12" s="39" t="s">
        <v>60</v>
      </c>
    </row>
    <row r="13" customFormat="false" ht="30" hidden="false" customHeight="true" outlineLevel="0" collapsed="false">
      <c r="A13" s="38" t="s">
        <v>330</v>
      </c>
      <c r="B13" s="39" t="s">
        <v>318</v>
      </c>
      <c r="C13" s="39" t="s">
        <v>331</v>
      </c>
      <c r="D13" s="39" t="s">
        <v>332</v>
      </c>
      <c r="E13" s="39"/>
      <c r="F13" s="39"/>
      <c r="G13" s="39"/>
      <c r="H13" s="39" t="s">
        <v>60</v>
      </c>
    </row>
    <row r="14" customFormat="false" ht="30" hidden="false" customHeight="true" outlineLevel="0" collapsed="false">
      <c r="A14" s="38" t="s">
        <v>333</v>
      </c>
      <c r="B14" s="39" t="s">
        <v>334</v>
      </c>
      <c r="C14" s="39" t="s">
        <v>326</v>
      </c>
      <c r="D14" s="39" t="s">
        <v>335</v>
      </c>
      <c r="E14" s="39"/>
      <c r="F14" s="39"/>
      <c r="G14" s="39"/>
      <c r="H14" s="39" t="s">
        <v>60</v>
      </c>
    </row>
    <row r="15" customFormat="false" ht="30" hidden="false" customHeight="true" outlineLevel="0" collapsed="false">
      <c r="A15" s="38" t="s">
        <v>336</v>
      </c>
      <c r="B15" s="39" t="s">
        <v>322</v>
      </c>
      <c r="C15" s="39" t="s">
        <v>337</v>
      </c>
      <c r="D15" s="39" t="s">
        <v>338</v>
      </c>
      <c r="E15" s="39"/>
      <c r="F15" s="39"/>
      <c r="G15" s="39"/>
      <c r="H15" s="39" t="s">
        <v>60</v>
      </c>
    </row>
    <row r="16" customFormat="false" ht="30" hidden="false" customHeight="true" outlineLevel="0" collapsed="false">
      <c r="A16" s="38" t="s">
        <v>339</v>
      </c>
      <c r="B16" s="39" t="s">
        <v>340</v>
      </c>
      <c r="C16" s="39" t="s">
        <v>341</v>
      </c>
      <c r="D16" s="39" t="s">
        <v>342</v>
      </c>
      <c r="E16" s="39"/>
      <c r="F16" s="39"/>
      <c r="G16" s="39"/>
      <c r="H16" s="39" t="s">
        <v>60</v>
      </c>
    </row>
    <row r="17" customFormat="false" ht="30" hidden="false" customHeight="true" outlineLevel="0" collapsed="false">
      <c r="A17" s="38" t="s">
        <v>343</v>
      </c>
      <c r="B17" s="39" t="s">
        <v>319</v>
      </c>
      <c r="C17" s="39" t="s">
        <v>332</v>
      </c>
      <c r="D17" s="39" t="s">
        <v>344</v>
      </c>
      <c r="E17" s="39"/>
      <c r="F17" s="39"/>
      <c r="G17" s="39"/>
      <c r="H17" s="39" t="s">
        <v>60</v>
      </c>
    </row>
    <row r="18" customFormat="false" ht="30" hidden="false" customHeight="true" outlineLevel="0" collapsed="false">
      <c r="A18" s="38" t="s">
        <v>345</v>
      </c>
      <c r="B18" s="39" t="s">
        <v>323</v>
      </c>
      <c r="C18" s="39" t="s">
        <v>346</v>
      </c>
      <c r="D18" s="39" t="s">
        <v>347</v>
      </c>
      <c r="E18" s="39"/>
      <c r="F18" s="39"/>
      <c r="G18" s="39"/>
      <c r="H18" s="39" t="s">
        <v>60</v>
      </c>
    </row>
    <row r="19" customFormat="false" ht="30" hidden="false" customHeight="true" outlineLevel="0" collapsed="false">
      <c r="A19" s="38" t="s">
        <v>348</v>
      </c>
      <c r="B19" s="39" t="s">
        <v>331</v>
      </c>
      <c r="C19" s="39" t="s">
        <v>349</v>
      </c>
      <c r="D19" s="39" t="s">
        <v>350</v>
      </c>
      <c r="E19" s="39"/>
      <c r="F19" s="39"/>
      <c r="G19" s="39"/>
      <c r="H19" s="39" t="s">
        <v>60</v>
      </c>
    </row>
    <row r="20" customFormat="false" ht="30" hidden="false" customHeight="true" outlineLevel="0" collapsed="false">
      <c r="A20" s="38" t="s">
        <v>351</v>
      </c>
      <c r="B20" s="39" t="s">
        <v>326</v>
      </c>
      <c r="C20" s="39" t="s">
        <v>352</v>
      </c>
      <c r="D20" s="39" t="s">
        <v>353</v>
      </c>
      <c r="E20" s="39"/>
      <c r="F20" s="39"/>
      <c r="G20" s="39"/>
      <c r="H20" s="39" t="s">
        <v>60</v>
      </c>
    </row>
    <row r="21" customFormat="false" ht="30" hidden="false" customHeight="true" outlineLevel="0" collapsed="false">
      <c r="A21" s="38" t="s">
        <v>354</v>
      </c>
      <c r="B21" s="39" t="s">
        <v>355</v>
      </c>
      <c r="C21" s="39" t="s">
        <v>347</v>
      </c>
      <c r="D21" s="39" t="s">
        <v>356</v>
      </c>
      <c r="E21" s="39"/>
      <c r="F21" s="39"/>
      <c r="G21" s="39"/>
      <c r="H21" s="39" t="s">
        <v>357</v>
      </c>
    </row>
    <row r="22" customFormat="false" ht="30" hidden="false" customHeight="true" outlineLevel="0" collapsed="false"/>
    <row r="23" customFormat="false" ht="15" hidden="false" customHeight="true" outlineLevel="0" collapsed="false">
      <c r="A23" s="35" t="s">
        <v>358</v>
      </c>
      <c r="B23" s="35"/>
      <c r="C23" s="35"/>
      <c r="D23" s="35"/>
      <c r="E23" s="35"/>
      <c r="F23" s="35"/>
      <c r="G23" s="35"/>
      <c r="H23" s="35"/>
    </row>
    <row r="24" customFormat="false" ht="30" hidden="false" customHeight="true" outlineLevel="0" collapsed="false">
      <c r="A24" s="36" t="s">
        <v>308</v>
      </c>
      <c r="B24" s="37" t="s">
        <v>309</v>
      </c>
      <c r="C24" s="37" t="s">
        <v>310</v>
      </c>
      <c r="D24" s="37" t="s">
        <v>311</v>
      </c>
      <c r="E24" s="37" t="s">
        <v>312</v>
      </c>
      <c r="F24" s="37" t="s">
        <v>313</v>
      </c>
      <c r="G24" s="37" t="s">
        <v>314</v>
      </c>
      <c r="H24" s="37" t="s">
        <v>315</v>
      </c>
    </row>
    <row r="25" customFormat="false" ht="15" hidden="false" customHeight="true" outlineLevel="0" collapsed="false">
      <c r="A25" s="38" t="s">
        <v>316</v>
      </c>
      <c r="B25" s="40" t="s">
        <v>359</v>
      </c>
      <c r="C25" s="40" t="s">
        <v>359</v>
      </c>
      <c r="D25" s="40" t="s">
        <v>359</v>
      </c>
      <c r="E25" s="39"/>
      <c r="F25" s="39"/>
      <c r="G25" s="39"/>
      <c r="H25" s="39" t="s">
        <v>60</v>
      </c>
    </row>
    <row r="26" customFormat="false" ht="27.75" hidden="false" customHeight="true" outlineLevel="0" collapsed="false">
      <c r="A26" s="38" t="s">
        <v>320</v>
      </c>
      <c r="B26" s="39" t="s">
        <v>360</v>
      </c>
      <c r="C26" s="39" t="s">
        <v>361</v>
      </c>
      <c r="D26" s="39" t="s">
        <v>362</v>
      </c>
      <c r="E26" s="39" t="s">
        <v>363</v>
      </c>
      <c r="F26" s="39"/>
      <c r="G26" s="39"/>
      <c r="H26" s="39" t="s">
        <v>60</v>
      </c>
    </row>
    <row r="27" customFormat="false" ht="27.75" hidden="false" customHeight="true" outlineLevel="0" collapsed="false">
      <c r="A27" s="38" t="s">
        <v>324</v>
      </c>
      <c r="B27" s="39" t="s">
        <v>360</v>
      </c>
      <c r="C27" s="39" t="s">
        <v>361</v>
      </c>
      <c r="D27" s="39" t="s">
        <v>362</v>
      </c>
      <c r="E27" s="39" t="s">
        <v>363</v>
      </c>
      <c r="F27" s="39"/>
      <c r="G27" s="39"/>
      <c r="H27" s="39" t="s">
        <v>60</v>
      </c>
    </row>
    <row r="28" customFormat="false" ht="15" hidden="false" customHeight="true" outlineLevel="0" collapsed="false">
      <c r="A28" s="38" t="s">
        <v>327</v>
      </c>
      <c r="B28" s="40" t="s">
        <v>359</v>
      </c>
      <c r="C28" s="40" t="s">
        <v>359</v>
      </c>
      <c r="D28" s="40" t="s">
        <v>359</v>
      </c>
      <c r="E28" s="39"/>
      <c r="F28" s="39"/>
      <c r="G28" s="39"/>
      <c r="H28" s="39" t="s">
        <v>60</v>
      </c>
    </row>
    <row r="29" customFormat="false" ht="27.75" hidden="false" customHeight="true" outlineLevel="0" collapsed="false">
      <c r="A29" s="38" t="s">
        <v>330</v>
      </c>
      <c r="B29" s="39" t="s">
        <v>360</v>
      </c>
      <c r="C29" s="39" t="s">
        <v>361</v>
      </c>
      <c r="D29" s="39" t="s">
        <v>362</v>
      </c>
      <c r="E29" s="39" t="s">
        <v>363</v>
      </c>
      <c r="F29" s="39" t="s">
        <v>364</v>
      </c>
      <c r="G29" s="39" t="s">
        <v>365</v>
      </c>
      <c r="H29" s="39" t="s">
        <v>60</v>
      </c>
    </row>
    <row r="30" customFormat="false" ht="27.75" hidden="false" customHeight="true" outlineLevel="0" collapsed="false">
      <c r="A30" s="38" t="s">
        <v>333</v>
      </c>
      <c r="B30" s="39" t="s">
        <v>366</v>
      </c>
      <c r="C30" s="39" t="s">
        <v>362</v>
      </c>
      <c r="D30" s="39" t="s">
        <v>363</v>
      </c>
      <c r="E30" s="39" t="s">
        <v>364</v>
      </c>
      <c r="F30" s="39" t="s">
        <v>365</v>
      </c>
      <c r="G30" s="39"/>
      <c r="H30" s="39" t="s">
        <v>60</v>
      </c>
    </row>
    <row r="31" customFormat="false" ht="27.75" hidden="false" customHeight="true" outlineLevel="0" collapsed="false">
      <c r="A31" s="38" t="s">
        <v>336</v>
      </c>
      <c r="B31" s="39" t="s">
        <v>366</v>
      </c>
      <c r="C31" s="39" t="s">
        <v>363</v>
      </c>
      <c r="D31" s="39" t="s">
        <v>365</v>
      </c>
      <c r="E31" s="39"/>
      <c r="F31" s="39"/>
      <c r="G31" s="39"/>
      <c r="H31" s="39" t="s">
        <v>60</v>
      </c>
    </row>
    <row r="32" customFormat="false" ht="27.75" hidden="false" customHeight="true" outlineLevel="0" collapsed="false">
      <c r="A32" s="38" t="s">
        <v>339</v>
      </c>
      <c r="B32" s="39" t="s">
        <v>367</v>
      </c>
      <c r="C32" s="39" t="s">
        <v>368</v>
      </c>
      <c r="D32" s="39" t="s">
        <v>369</v>
      </c>
      <c r="E32" s="39" t="s">
        <v>370</v>
      </c>
      <c r="F32" s="39"/>
      <c r="G32" s="39"/>
      <c r="H32" s="39" t="s">
        <v>60</v>
      </c>
    </row>
    <row r="33" customFormat="false" ht="27.75" hidden="false" customHeight="true" outlineLevel="0" collapsed="false">
      <c r="A33" s="38" t="s">
        <v>343</v>
      </c>
      <c r="B33" s="39" t="s">
        <v>367</v>
      </c>
      <c r="C33" s="39" t="s">
        <v>368</v>
      </c>
      <c r="D33" s="39" t="s">
        <v>369</v>
      </c>
      <c r="E33" s="39" t="s">
        <v>370</v>
      </c>
      <c r="F33" s="39"/>
      <c r="G33" s="39"/>
      <c r="H33" s="39" t="s">
        <v>60</v>
      </c>
    </row>
    <row r="34" customFormat="false" ht="27.75" hidden="false" customHeight="true" outlineLevel="0" collapsed="false">
      <c r="A34" s="38" t="s">
        <v>345</v>
      </c>
      <c r="B34" s="39" t="s">
        <v>367</v>
      </c>
      <c r="C34" s="39" t="s">
        <v>368</v>
      </c>
      <c r="D34" s="39" t="s">
        <v>369</v>
      </c>
      <c r="E34" s="39" t="s">
        <v>370</v>
      </c>
      <c r="F34" s="39"/>
      <c r="G34" s="39"/>
      <c r="H34" s="39" t="s">
        <v>60</v>
      </c>
    </row>
    <row r="35" customFormat="false" ht="27.75" hidden="false" customHeight="true" outlineLevel="0" collapsed="false">
      <c r="A35" s="38" t="s">
        <v>348</v>
      </c>
      <c r="B35" s="39" t="s">
        <v>371</v>
      </c>
      <c r="C35" s="39" t="s">
        <v>372</v>
      </c>
      <c r="D35" s="39" t="s">
        <v>373</v>
      </c>
      <c r="E35" s="39" t="s">
        <v>374</v>
      </c>
      <c r="F35" s="39"/>
      <c r="G35" s="39"/>
      <c r="H35" s="39" t="s">
        <v>60</v>
      </c>
    </row>
    <row r="36" customFormat="false" ht="27.75" hidden="false" customHeight="true" outlineLevel="0" collapsed="false">
      <c r="A36" s="38" t="s">
        <v>351</v>
      </c>
      <c r="B36" s="39" t="s">
        <v>371</v>
      </c>
      <c r="C36" s="39" t="s">
        <v>372</v>
      </c>
      <c r="D36" s="39" t="s">
        <v>373</v>
      </c>
      <c r="E36" s="39" t="s">
        <v>374</v>
      </c>
      <c r="F36" s="39"/>
      <c r="G36" s="39"/>
      <c r="H36" s="39" t="s">
        <v>60</v>
      </c>
    </row>
    <row r="37" customFormat="false" ht="27.75" hidden="false" customHeight="true" outlineLevel="0" collapsed="false">
      <c r="A37" s="38" t="s">
        <v>354</v>
      </c>
      <c r="B37" s="39" t="s">
        <v>371</v>
      </c>
      <c r="C37" s="39" t="s">
        <v>372</v>
      </c>
      <c r="D37" s="39" t="s">
        <v>373</v>
      </c>
      <c r="E37" s="39" t="s">
        <v>374</v>
      </c>
      <c r="F37" s="39"/>
      <c r="G37" s="39"/>
      <c r="H37" s="39" t="s">
        <v>357</v>
      </c>
    </row>
  </sheetData>
  <mergeCells count="7">
    <mergeCell ref="A1:H1"/>
    <mergeCell ref="A2:H2"/>
    <mergeCell ref="A3:H3"/>
    <mergeCell ref="A4:H4"/>
    <mergeCell ref="A5:H5"/>
    <mergeCell ref="A7:H7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30"/>
    <col collapsed="false" customWidth="true" hidden="false" outlineLevel="0" max="6" min="6" style="1" width="16"/>
  </cols>
  <sheetData>
    <row r="1" customFormat="false" ht="24" hidden="false" customHeight="true" outlineLevel="0" collapsed="false">
      <c r="A1" s="33" t="s">
        <v>375</v>
      </c>
      <c r="B1" s="33"/>
      <c r="C1" s="33"/>
      <c r="D1" s="33"/>
      <c r="E1" s="33"/>
      <c r="F1" s="33"/>
    </row>
    <row r="2" customFormat="false" ht="15" hidden="false" customHeight="true" outlineLevel="0" collapsed="false">
      <c r="A2" s="34" t="s">
        <v>376</v>
      </c>
      <c r="B2" s="34"/>
      <c r="C2" s="34"/>
      <c r="D2" s="34"/>
      <c r="E2" s="34"/>
      <c r="F2" s="34"/>
    </row>
    <row r="3" customFormat="false" ht="15" hidden="false" customHeight="true" outlineLevel="0" collapsed="false">
      <c r="A3" s="34" t="s">
        <v>377</v>
      </c>
      <c r="B3" s="34"/>
      <c r="C3" s="34"/>
      <c r="D3" s="34"/>
      <c r="E3" s="34"/>
      <c r="F3" s="34"/>
    </row>
    <row r="4" customFormat="false" ht="15" hidden="false" customHeight="true" outlineLevel="0" collapsed="false">
      <c r="A4" s="34" t="s">
        <v>378</v>
      </c>
      <c r="B4" s="34"/>
      <c r="C4" s="34"/>
      <c r="D4" s="34"/>
      <c r="E4" s="34"/>
      <c r="F4" s="34"/>
    </row>
    <row r="5" customFormat="false" ht="15" hidden="false" customHeight="true" outlineLevel="0" collapsed="false">
      <c r="A5" s="34" t="s">
        <v>379</v>
      </c>
      <c r="B5" s="34"/>
      <c r="C5" s="34"/>
      <c r="D5" s="34"/>
      <c r="E5" s="34"/>
      <c r="F5" s="34"/>
    </row>
    <row r="7" customFormat="false" ht="18" hidden="false" customHeight="true" outlineLevel="0" collapsed="false">
      <c r="A7" s="35" t="s">
        <v>380</v>
      </c>
      <c r="B7" s="35"/>
      <c r="C7" s="35"/>
      <c r="D7" s="35"/>
      <c r="E7" s="35"/>
      <c r="F7" s="35"/>
    </row>
    <row r="8" customFormat="false" ht="30" hidden="false" customHeight="true" outlineLevel="0" collapsed="false">
      <c r="A8" s="36" t="s">
        <v>381</v>
      </c>
      <c r="B8" s="37" t="s">
        <v>309</v>
      </c>
      <c r="C8" s="37" t="s">
        <v>310</v>
      </c>
      <c r="D8" s="37" t="s">
        <v>311</v>
      </c>
      <c r="E8" s="37" t="s">
        <v>312</v>
      </c>
      <c r="F8" s="37" t="s">
        <v>315</v>
      </c>
    </row>
    <row r="9" customFormat="false" ht="39.75" hidden="false" customHeight="true" outlineLevel="0" collapsed="false">
      <c r="A9" s="38" t="s">
        <v>382</v>
      </c>
      <c r="B9" s="39" t="s">
        <v>383</v>
      </c>
      <c r="C9" s="39" t="s">
        <v>384</v>
      </c>
      <c r="D9" s="39"/>
      <c r="E9" s="39"/>
      <c r="F9" s="39" t="s">
        <v>146</v>
      </c>
    </row>
    <row r="10" customFormat="false" ht="39.75" hidden="false" customHeight="true" outlineLevel="0" collapsed="false">
      <c r="A10" s="38" t="s">
        <v>385</v>
      </c>
      <c r="B10" s="39" t="s">
        <v>386</v>
      </c>
      <c r="C10" s="39" t="s">
        <v>386</v>
      </c>
      <c r="D10" s="39" t="s">
        <v>387</v>
      </c>
      <c r="E10" s="39"/>
      <c r="F10" s="39" t="s">
        <v>158</v>
      </c>
    </row>
    <row r="11" customFormat="false" ht="15" hidden="false" customHeight="true" outlineLevel="0" collapsed="false">
      <c r="A11" s="38" t="s">
        <v>388</v>
      </c>
      <c r="B11" s="39" t="s">
        <v>386</v>
      </c>
      <c r="C11" s="39" t="s">
        <v>387</v>
      </c>
      <c r="D11" s="39"/>
      <c r="E11" s="39"/>
      <c r="F11" s="39" t="s">
        <v>160</v>
      </c>
    </row>
    <row r="12" customFormat="false" ht="15" hidden="false" customHeight="true" outlineLevel="0" collapsed="false">
      <c r="A12" s="38" t="s">
        <v>389</v>
      </c>
      <c r="B12" s="39" t="s">
        <v>386</v>
      </c>
      <c r="C12" s="39" t="s">
        <v>387</v>
      </c>
      <c r="D12" s="39" t="s">
        <v>390</v>
      </c>
      <c r="E12" s="39" t="s">
        <v>391</v>
      </c>
      <c r="F12" s="39" t="s">
        <v>160</v>
      </c>
    </row>
    <row r="13" customFormat="false" ht="15" hidden="false" customHeight="true" outlineLevel="0" collapsed="false"/>
    <row r="14" customFormat="false" ht="30" hidden="false" customHeight="true" outlineLevel="0" collapsed="false">
      <c r="A14" s="35" t="s">
        <v>392</v>
      </c>
      <c r="B14" s="35"/>
      <c r="C14" s="35"/>
      <c r="D14" s="35"/>
      <c r="E14" s="35"/>
      <c r="F14" s="35"/>
    </row>
    <row r="15" customFormat="false" ht="15" hidden="false" customHeight="true" outlineLevel="0" collapsed="false">
      <c r="A15" s="36" t="s">
        <v>381</v>
      </c>
      <c r="B15" s="37" t="s">
        <v>309</v>
      </c>
      <c r="C15" s="37" t="s">
        <v>310</v>
      </c>
      <c r="D15" s="37" t="s">
        <v>311</v>
      </c>
      <c r="E15" s="37" t="s">
        <v>312</v>
      </c>
      <c r="F15" s="37" t="s">
        <v>315</v>
      </c>
    </row>
    <row r="16" customFormat="false" ht="27.75" hidden="false" customHeight="true" outlineLevel="0" collapsed="false">
      <c r="A16" s="38" t="s">
        <v>382</v>
      </c>
      <c r="B16" s="40" t="s">
        <v>359</v>
      </c>
      <c r="C16" s="40" t="s">
        <v>359</v>
      </c>
      <c r="D16" s="39"/>
      <c r="E16" s="39"/>
      <c r="F16" s="39" t="s">
        <v>146</v>
      </c>
    </row>
    <row r="17" customFormat="false" ht="27.75" hidden="false" customHeight="true" outlineLevel="0" collapsed="false">
      <c r="A17" s="38" t="s">
        <v>385</v>
      </c>
      <c r="B17" s="39" t="s">
        <v>393</v>
      </c>
      <c r="C17" s="39" t="s">
        <v>393</v>
      </c>
      <c r="D17" s="39" t="s">
        <v>394</v>
      </c>
      <c r="E17" s="39"/>
      <c r="F17" s="39" t="s">
        <v>158</v>
      </c>
    </row>
    <row r="18" customFormat="false" ht="27.75" hidden="false" customHeight="true" outlineLevel="0" collapsed="false">
      <c r="A18" s="38" t="s">
        <v>388</v>
      </c>
      <c r="B18" s="39" t="s">
        <v>393</v>
      </c>
      <c r="C18" s="39" t="s">
        <v>394</v>
      </c>
      <c r="D18" s="39"/>
      <c r="E18" s="39"/>
      <c r="F18" s="39" t="s">
        <v>160</v>
      </c>
    </row>
    <row r="19" customFormat="false" ht="27.75" hidden="false" customHeight="true" outlineLevel="0" collapsed="false">
      <c r="A19" s="38" t="s">
        <v>389</v>
      </c>
      <c r="B19" s="39" t="s">
        <v>393</v>
      </c>
      <c r="C19" s="39" t="s">
        <v>394</v>
      </c>
      <c r="D19" s="39" t="s">
        <v>395</v>
      </c>
      <c r="E19" s="39" t="s">
        <v>396</v>
      </c>
      <c r="F19" s="39" t="s">
        <v>160</v>
      </c>
    </row>
  </sheetData>
  <mergeCells count="7">
    <mergeCell ref="A1:F1"/>
    <mergeCell ref="A2:F2"/>
    <mergeCell ref="A3:F3"/>
    <mergeCell ref="A4:F4"/>
    <mergeCell ref="A5:F5"/>
    <mergeCell ref="A7:F7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3" min="3" style="1" width="35"/>
    <col collapsed="false" customWidth="true" hidden="false" outlineLevel="0" max="4" min="4" style="1" width="15"/>
    <col collapsed="false" customWidth="true" hidden="false" outlineLevel="0" max="5" min="5" style="1" width="17"/>
  </cols>
  <sheetData>
    <row r="1" customFormat="false" ht="21.75" hidden="false" customHeight="true" outlineLevel="0" collapsed="false">
      <c r="A1" s="41" t="s">
        <v>397</v>
      </c>
      <c r="B1" s="41"/>
      <c r="C1" s="41"/>
      <c r="D1" s="41"/>
      <c r="E1" s="41"/>
    </row>
    <row r="2" customFormat="false" ht="25.5" hidden="false" customHeight="true" outlineLevel="0" collapsed="false">
      <c r="A2" s="42" t="s">
        <v>398</v>
      </c>
      <c r="B2" s="42"/>
      <c r="C2" s="42"/>
      <c r="D2" s="42"/>
      <c r="E2" s="42"/>
    </row>
    <row r="3" customFormat="false" ht="25.5" hidden="false" customHeight="true" outlineLevel="0" collapsed="false">
      <c r="A3" s="42" t="s">
        <v>399</v>
      </c>
      <c r="B3" s="42"/>
      <c r="C3" s="42"/>
      <c r="D3" s="42"/>
      <c r="E3" s="42"/>
    </row>
    <row r="4" customFormat="false" ht="25.5" hidden="false" customHeight="true" outlineLevel="0" collapsed="false">
      <c r="A4" s="42" t="s">
        <v>400</v>
      </c>
      <c r="B4" s="42"/>
      <c r="C4" s="42"/>
      <c r="D4" s="42"/>
      <c r="E4" s="42"/>
    </row>
    <row r="5" customFormat="false" ht="25.5" hidden="false" customHeight="true" outlineLevel="0" collapsed="false">
      <c r="A5" s="42" t="s">
        <v>401</v>
      </c>
      <c r="B5" s="42"/>
      <c r="C5" s="42"/>
      <c r="D5" s="42"/>
      <c r="E5" s="42"/>
    </row>
    <row r="7" customFormat="false" ht="30" hidden="false" customHeight="true" outlineLevel="0" collapsed="false">
      <c r="A7" s="36" t="s">
        <v>308</v>
      </c>
      <c r="B7" s="43" t="s">
        <v>402</v>
      </c>
      <c r="C7" s="44" t="s">
        <v>403</v>
      </c>
      <c r="D7" s="36" t="s">
        <v>404</v>
      </c>
      <c r="E7" s="36" t="s">
        <v>405</v>
      </c>
    </row>
    <row r="8" customFormat="false" ht="15" hidden="false" customHeight="true" outlineLevel="0" collapsed="false">
      <c r="A8" s="38" t="s">
        <v>406</v>
      </c>
      <c r="B8" s="45" t="s">
        <v>407</v>
      </c>
      <c r="C8" s="46" t="s">
        <v>359</v>
      </c>
      <c r="D8" s="47" t="s">
        <v>408</v>
      </c>
      <c r="E8" s="48" t="s">
        <v>409</v>
      </c>
    </row>
    <row r="9" customFormat="false" ht="15" hidden="false" customHeight="true" outlineLevel="0" collapsed="false">
      <c r="A9" s="49" t="s">
        <v>410</v>
      </c>
      <c r="B9" s="50" t="s">
        <v>411</v>
      </c>
      <c r="C9" s="51" t="s">
        <v>396</v>
      </c>
      <c r="D9" s="47" t="s">
        <v>412</v>
      </c>
      <c r="E9" s="52" t="s">
        <v>409</v>
      </c>
    </row>
    <row r="10" customFormat="false" ht="15" hidden="false" customHeight="true" outlineLevel="0" collapsed="false">
      <c r="A10" s="38" t="s">
        <v>413</v>
      </c>
      <c r="B10" s="53" t="s">
        <v>414</v>
      </c>
      <c r="C10" s="45" t="s">
        <v>396</v>
      </c>
      <c r="D10" s="47" t="s">
        <v>415</v>
      </c>
      <c r="E10" s="48" t="s">
        <v>409</v>
      </c>
    </row>
    <row r="11" customFormat="false" ht="15" hidden="false" customHeight="true" outlineLevel="0" collapsed="false">
      <c r="A11" s="49" t="s">
        <v>416</v>
      </c>
      <c r="B11" s="54" t="s">
        <v>414</v>
      </c>
      <c r="C11" s="50" t="s">
        <v>396</v>
      </c>
      <c r="D11" s="47" t="s">
        <v>417</v>
      </c>
      <c r="E11" s="52" t="s">
        <v>418</v>
      </c>
    </row>
    <row r="12" customFormat="false" ht="15" hidden="false" customHeight="true" outlineLevel="0" collapsed="false">
      <c r="A12" s="38" t="s">
        <v>419</v>
      </c>
      <c r="B12" s="45" t="s">
        <v>420</v>
      </c>
      <c r="C12" s="45" t="s">
        <v>396</v>
      </c>
      <c r="D12" s="47" t="s">
        <v>421</v>
      </c>
      <c r="E12" s="48" t="s">
        <v>418</v>
      </c>
    </row>
    <row r="13" customFormat="false" ht="15" hidden="false" customHeight="true" outlineLevel="0" collapsed="false">
      <c r="A13" s="49" t="s">
        <v>422</v>
      </c>
      <c r="B13" s="50" t="s">
        <v>423</v>
      </c>
      <c r="C13" s="50" t="s">
        <v>396</v>
      </c>
      <c r="D13" s="47" t="s">
        <v>424</v>
      </c>
      <c r="E13" s="52" t="s">
        <v>418</v>
      </c>
    </row>
    <row r="14" customFormat="false" ht="15" hidden="false" customHeight="true" outlineLevel="0" collapsed="false">
      <c r="A14" s="38" t="s">
        <v>425</v>
      </c>
      <c r="B14" s="45" t="s">
        <v>426</v>
      </c>
      <c r="C14" s="45" t="s">
        <v>396</v>
      </c>
      <c r="D14" s="47" t="s">
        <v>427</v>
      </c>
      <c r="E14" s="48" t="s">
        <v>418</v>
      </c>
    </row>
    <row r="15" customFormat="false" ht="15" hidden="false" customHeight="true" outlineLevel="0" collapsed="false">
      <c r="A15" s="49" t="s">
        <v>330</v>
      </c>
      <c r="B15" s="50" t="s">
        <v>423</v>
      </c>
      <c r="C15" s="50" t="s">
        <v>428</v>
      </c>
      <c r="D15" s="47" t="s">
        <v>429</v>
      </c>
      <c r="E15" s="52" t="s">
        <v>430</v>
      </c>
    </row>
    <row r="16" customFormat="false" ht="15" hidden="false" customHeight="true" outlineLevel="0" collapsed="false">
      <c r="A16" s="38" t="s">
        <v>333</v>
      </c>
      <c r="B16" s="45" t="s">
        <v>431</v>
      </c>
      <c r="C16" s="45" t="s">
        <v>428</v>
      </c>
      <c r="D16" s="47" t="s">
        <v>432</v>
      </c>
      <c r="E16" s="48" t="s">
        <v>430</v>
      </c>
    </row>
    <row r="17" customFormat="false" ht="15" hidden="false" customHeight="true" outlineLevel="0" collapsed="false">
      <c r="A17" s="49" t="s">
        <v>336</v>
      </c>
      <c r="B17" s="50" t="s">
        <v>433</v>
      </c>
      <c r="C17" s="54" t="s">
        <v>434</v>
      </c>
      <c r="D17" s="47" t="s">
        <v>429</v>
      </c>
      <c r="E17" s="52" t="s">
        <v>430</v>
      </c>
    </row>
    <row r="18" customFormat="false" ht="15" hidden="false" customHeight="true" outlineLevel="0" collapsed="false">
      <c r="A18" s="38" t="s">
        <v>339</v>
      </c>
      <c r="B18" s="45" t="s">
        <v>435</v>
      </c>
      <c r="C18" s="45" t="s">
        <v>434</v>
      </c>
      <c r="D18" s="47" t="s">
        <v>436</v>
      </c>
      <c r="E18" s="48" t="s">
        <v>430</v>
      </c>
    </row>
    <row r="19" customFormat="false" ht="15" hidden="false" customHeight="true" outlineLevel="0" collapsed="false">
      <c r="A19" s="49" t="s">
        <v>437</v>
      </c>
      <c r="B19" s="50" t="s">
        <v>438</v>
      </c>
      <c r="C19" s="50" t="s">
        <v>434</v>
      </c>
      <c r="D19" s="47" t="s">
        <v>439</v>
      </c>
      <c r="E19" s="52" t="s">
        <v>430</v>
      </c>
    </row>
    <row r="20" customFormat="false" ht="15" hidden="false" customHeight="true" outlineLevel="0" collapsed="false">
      <c r="A20" s="38" t="s">
        <v>440</v>
      </c>
      <c r="B20" s="45" t="s">
        <v>441</v>
      </c>
      <c r="C20" s="45" t="s">
        <v>434</v>
      </c>
      <c r="D20" s="47" t="s">
        <v>442</v>
      </c>
      <c r="E20" s="48" t="s">
        <v>430</v>
      </c>
    </row>
    <row r="21" customFormat="false" ht="15" hidden="false" customHeight="true" outlineLevel="0" collapsed="false">
      <c r="A21" s="49" t="s">
        <v>443</v>
      </c>
      <c r="B21" s="50" t="s">
        <v>444</v>
      </c>
      <c r="C21" s="50" t="s">
        <v>434</v>
      </c>
      <c r="D21" s="47" t="s">
        <v>445</v>
      </c>
      <c r="E21" s="52" t="s">
        <v>430</v>
      </c>
    </row>
    <row r="22" customFormat="false" ht="15" hidden="false" customHeight="true" outlineLevel="0" collapsed="false">
      <c r="A22" s="38" t="s">
        <v>446</v>
      </c>
      <c r="B22" s="45" t="s">
        <v>447</v>
      </c>
      <c r="C22" s="45" t="s">
        <v>434</v>
      </c>
      <c r="D22" s="47" t="s">
        <v>448</v>
      </c>
      <c r="E22" s="48" t="s">
        <v>430</v>
      </c>
    </row>
    <row r="23" customFormat="false" ht="15" hidden="false" customHeight="true" outlineLevel="0" collapsed="false">
      <c r="A23" s="49" t="s">
        <v>449</v>
      </c>
      <c r="B23" s="50" t="s">
        <v>450</v>
      </c>
      <c r="C23" s="50" t="s">
        <v>434</v>
      </c>
      <c r="D23" s="47" t="s">
        <v>451</v>
      </c>
      <c r="E23" s="52" t="s">
        <v>430</v>
      </c>
    </row>
    <row r="24" customFormat="false" ht="15" hidden="false" customHeight="true" outlineLevel="0" collapsed="false">
      <c r="A24" s="38" t="s">
        <v>452</v>
      </c>
      <c r="B24" s="45" t="s">
        <v>453</v>
      </c>
      <c r="C24" s="45" t="s">
        <v>434</v>
      </c>
      <c r="D24" s="47" t="s">
        <v>454</v>
      </c>
      <c r="E24" s="48" t="s">
        <v>430</v>
      </c>
    </row>
    <row r="25" customFormat="false" ht="15" hidden="false" customHeight="true" outlineLevel="0" collapsed="false">
      <c r="A25" s="49" t="s">
        <v>455</v>
      </c>
      <c r="B25" s="50" t="s">
        <v>456</v>
      </c>
      <c r="C25" s="50" t="s">
        <v>434</v>
      </c>
      <c r="D25" s="47" t="s">
        <v>457</v>
      </c>
      <c r="E25" s="52" t="s">
        <v>430</v>
      </c>
    </row>
    <row r="26" customFormat="false" ht="15" hidden="false" customHeight="true" outlineLevel="0" collapsed="false">
      <c r="A26" s="38" t="s">
        <v>458</v>
      </c>
      <c r="B26" s="45" t="s">
        <v>459</v>
      </c>
      <c r="C26" s="45" t="s">
        <v>434</v>
      </c>
      <c r="D26" s="47" t="s">
        <v>460</v>
      </c>
      <c r="E26" s="48" t="s">
        <v>430</v>
      </c>
    </row>
    <row r="27" customFormat="false" ht="15" hidden="false" customHeight="true" outlineLevel="0" collapsed="false">
      <c r="A27" s="49" t="s">
        <v>354</v>
      </c>
      <c r="B27" s="54" t="s">
        <v>461</v>
      </c>
      <c r="C27" s="54" t="s">
        <v>462</v>
      </c>
      <c r="D27" s="47" t="s">
        <v>463</v>
      </c>
      <c r="E27" s="52" t="s">
        <v>100</v>
      </c>
    </row>
  </sheetData>
  <mergeCells count="5">
    <mergeCell ref="A1:E1"/>
    <mergeCell ref="A2:E2"/>
    <mergeCell ref="A3:E3"/>
    <mergeCell ref="A4:E4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5"/>
  <sheetViews>
    <sheetView showFormulas="false" showGridLines="fals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I32" activeCellId="0" sqref="I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3" min="2" style="1" width="22"/>
    <col collapsed="false" customWidth="true" hidden="false" outlineLevel="0" max="5" min="4" style="1" width="24"/>
  </cols>
  <sheetData>
    <row r="1" customFormat="false" ht="21.75" hidden="false" customHeight="true" outlineLevel="0" collapsed="false">
      <c r="A1" s="41" t="s">
        <v>464</v>
      </c>
      <c r="B1" s="41"/>
      <c r="C1" s="41"/>
      <c r="D1" s="41"/>
      <c r="E1" s="41"/>
    </row>
    <row r="2" customFormat="false" ht="25.5" hidden="false" customHeight="true" outlineLevel="0" collapsed="false">
      <c r="A2" s="42" t="s">
        <v>465</v>
      </c>
      <c r="B2" s="42"/>
      <c r="C2" s="42"/>
      <c r="D2" s="42"/>
      <c r="E2" s="42"/>
    </row>
    <row r="3" customFormat="false" ht="25.5" hidden="false" customHeight="true" outlineLevel="0" collapsed="false">
      <c r="A3" s="42" t="s">
        <v>466</v>
      </c>
      <c r="B3" s="42"/>
      <c r="C3" s="42"/>
      <c r="D3" s="42"/>
      <c r="E3" s="42"/>
    </row>
    <row r="4" customFormat="false" ht="25.5" hidden="false" customHeight="true" outlineLevel="0" collapsed="false">
      <c r="A4" s="42" t="s">
        <v>467</v>
      </c>
      <c r="B4" s="42"/>
      <c r="C4" s="42"/>
      <c r="D4" s="42"/>
      <c r="E4" s="42"/>
    </row>
    <row r="5" customFormat="false" ht="25.5" hidden="false" customHeight="true" outlineLevel="0" collapsed="false">
      <c r="A5" s="42" t="s">
        <v>468</v>
      </c>
      <c r="B5" s="42"/>
      <c r="C5" s="42"/>
      <c r="D5" s="42"/>
      <c r="E5" s="42"/>
    </row>
    <row r="7" customFormat="false" ht="15" hidden="false" customHeight="true" outlineLevel="0" collapsed="false">
      <c r="A7" s="35" t="s">
        <v>469</v>
      </c>
      <c r="B7" s="35"/>
      <c r="C7" s="35"/>
      <c r="D7" s="35"/>
      <c r="E7" s="35"/>
    </row>
    <row r="8" customFormat="false" ht="30" hidden="false" customHeight="true" outlineLevel="0" collapsed="false">
      <c r="A8" s="36" t="s">
        <v>308</v>
      </c>
      <c r="B8" s="37" t="s">
        <v>470</v>
      </c>
      <c r="C8" s="37" t="s">
        <v>471</v>
      </c>
      <c r="D8" s="37" t="s">
        <v>472</v>
      </c>
      <c r="E8" s="37" t="s">
        <v>312</v>
      </c>
    </row>
    <row r="9" customFormat="false" ht="30" hidden="false" customHeight="true" outlineLevel="0" collapsed="false">
      <c r="A9" s="38" t="s">
        <v>316</v>
      </c>
      <c r="B9" s="39" t="s">
        <v>473</v>
      </c>
      <c r="C9" s="39" t="s">
        <v>474</v>
      </c>
      <c r="D9" s="39" t="s">
        <v>475</v>
      </c>
      <c r="E9" s="55"/>
    </row>
    <row r="10" customFormat="false" ht="30" hidden="false" customHeight="true" outlineLevel="0" collapsed="false">
      <c r="A10" s="49" t="s">
        <v>320</v>
      </c>
      <c r="B10" s="56" t="s">
        <v>476</v>
      </c>
      <c r="C10" s="57" t="s">
        <v>477</v>
      </c>
      <c r="D10" s="57" t="s">
        <v>478</v>
      </c>
      <c r="E10" s="56"/>
    </row>
    <row r="11" customFormat="false" ht="30" hidden="false" customHeight="true" outlineLevel="0" collapsed="false">
      <c r="A11" s="38" t="s">
        <v>324</v>
      </c>
      <c r="B11" s="55" t="s">
        <v>479</v>
      </c>
      <c r="C11" s="55" t="s">
        <v>480</v>
      </c>
      <c r="D11" s="55" t="s">
        <v>481</v>
      </c>
      <c r="E11" s="55"/>
    </row>
    <row r="12" customFormat="false" ht="30" hidden="false" customHeight="true" outlineLevel="0" collapsed="false">
      <c r="A12" s="49" t="s">
        <v>327</v>
      </c>
      <c r="B12" s="56" t="s">
        <v>482</v>
      </c>
      <c r="C12" s="56" t="s">
        <v>483</v>
      </c>
      <c r="D12" s="56" t="s">
        <v>484</v>
      </c>
      <c r="E12" s="56"/>
    </row>
    <row r="13" customFormat="false" ht="30" hidden="false" customHeight="true" outlineLevel="0" collapsed="false">
      <c r="A13" s="38" t="s">
        <v>330</v>
      </c>
      <c r="B13" s="55" t="s">
        <v>485</v>
      </c>
      <c r="C13" s="55" t="s">
        <v>481</v>
      </c>
      <c r="D13" s="39" t="s">
        <v>486</v>
      </c>
      <c r="E13" s="55"/>
    </row>
    <row r="14" customFormat="false" ht="30" hidden="false" customHeight="true" outlineLevel="0" collapsed="false">
      <c r="A14" s="49" t="s">
        <v>333</v>
      </c>
      <c r="B14" s="56" t="s">
        <v>480</v>
      </c>
      <c r="C14" s="56" t="s">
        <v>487</v>
      </c>
      <c r="D14" s="57" t="s">
        <v>488</v>
      </c>
      <c r="E14" s="56"/>
    </row>
    <row r="15" customFormat="false" ht="30" hidden="false" customHeight="true" outlineLevel="0" collapsed="false">
      <c r="A15" s="38" t="s">
        <v>336</v>
      </c>
      <c r="B15" s="55" t="s">
        <v>478</v>
      </c>
      <c r="C15" s="39" t="s">
        <v>489</v>
      </c>
      <c r="D15" s="55" t="s">
        <v>490</v>
      </c>
      <c r="E15" s="55"/>
    </row>
    <row r="16" customFormat="false" ht="30" hidden="false" customHeight="true" outlineLevel="0" collapsed="false">
      <c r="A16" s="49" t="s">
        <v>339</v>
      </c>
      <c r="B16" s="57" t="s">
        <v>491</v>
      </c>
      <c r="C16" s="57" t="s">
        <v>492</v>
      </c>
      <c r="D16" s="56" t="s">
        <v>493</v>
      </c>
      <c r="E16" s="56"/>
    </row>
    <row r="17" customFormat="false" ht="30" hidden="false" customHeight="true" outlineLevel="0" collapsed="false">
      <c r="A17" s="38" t="s">
        <v>437</v>
      </c>
      <c r="B17" s="39" t="s">
        <v>494</v>
      </c>
      <c r="C17" s="39" t="s">
        <v>488</v>
      </c>
      <c r="D17" s="55" t="s">
        <v>493</v>
      </c>
      <c r="E17" s="55"/>
    </row>
    <row r="18" customFormat="false" ht="30" hidden="false" customHeight="true" outlineLevel="0" collapsed="false">
      <c r="A18" s="49" t="s">
        <v>440</v>
      </c>
      <c r="B18" s="57" t="s">
        <v>495</v>
      </c>
      <c r="C18" s="57" t="s">
        <v>490</v>
      </c>
      <c r="D18" s="57" t="s">
        <v>493</v>
      </c>
      <c r="E18" s="57" t="s">
        <v>496</v>
      </c>
    </row>
    <row r="19" customFormat="false" ht="30" hidden="false" customHeight="true" outlineLevel="0" collapsed="false">
      <c r="A19" s="38" t="s">
        <v>443</v>
      </c>
      <c r="B19" s="39" t="s">
        <v>487</v>
      </c>
      <c r="C19" s="39" t="s">
        <v>490</v>
      </c>
      <c r="D19" s="39" t="s">
        <v>493</v>
      </c>
      <c r="E19" s="39" t="s">
        <v>496</v>
      </c>
    </row>
    <row r="20" customFormat="false" ht="30" hidden="false" customHeight="true" outlineLevel="0" collapsed="false">
      <c r="A20" s="49" t="s">
        <v>446</v>
      </c>
      <c r="B20" s="56" t="s">
        <v>497</v>
      </c>
      <c r="C20" s="56" t="s">
        <v>493</v>
      </c>
      <c r="D20" s="56" t="s">
        <v>498</v>
      </c>
      <c r="E20" s="56"/>
    </row>
    <row r="21" customFormat="false" ht="30" hidden="false" customHeight="true" outlineLevel="0" collapsed="false">
      <c r="A21" s="38" t="s">
        <v>449</v>
      </c>
      <c r="B21" s="39" t="s">
        <v>499</v>
      </c>
      <c r="C21" s="55" t="s">
        <v>493</v>
      </c>
      <c r="D21" s="55" t="s">
        <v>498</v>
      </c>
      <c r="E21" s="55"/>
    </row>
    <row r="22" customFormat="false" ht="30" hidden="false" customHeight="true" outlineLevel="0" collapsed="false">
      <c r="A22" s="49" t="s">
        <v>452</v>
      </c>
      <c r="B22" s="57" t="s">
        <v>500</v>
      </c>
      <c r="C22" s="57" t="s">
        <v>493</v>
      </c>
      <c r="D22" s="57" t="s">
        <v>498</v>
      </c>
      <c r="E22" s="56"/>
    </row>
    <row r="23" customFormat="false" ht="30" hidden="false" customHeight="true" outlineLevel="0" collapsed="false">
      <c r="A23" s="38" t="s">
        <v>455</v>
      </c>
      <c r="B23" s="39" t="s">
        <v>501</v>
      </c>
      <c r="C23" s="55" t="s">
        <v>496</v>
      </c>
      <c r="D23" s="55" t="s">
        <v>502</v>
      </c>
      <c r="E23" s="55"/>
    </row>
    <row r="24" customFormat="false" ht="30" hidden="false" customHeight="true" outlineLevel="0" collapsed="false">
      <c r="A24" s="49" t="s">
        <v>458</v>
      </c>
      <c r="B24" s="57" t="s">
        <v>503</v>
      </c>
      <c r="C24" s="56" t="s">
        <v>496</v>
      </c>
      <c r="D24" s="56" t="s">
        <v>502</v>
      </c>
      <c r="E24" s="56"/>
    </row>
    <row r="25" customFormat="false" ht="30" hidden="false" customHeight="true" outlineLevel="0" collapsed="false">
      <c r="A25" s="38" t="s">
        <v>354</v>
      </c>
      <c r="B25" s="55" t="s">
        <v>490</v>
      </c>
      <c r="C25" s="55" t="s">
        <v>496</v>
      </c>
      <c r="D25" s="55" t="s">
        <v>502</v>
      </c>
      <c r="E25" s="55"/>
    </row>
    <row r="27" customFormat="false" ht="15" hidden="false" customHeight="true" outlineLevel="0" collapsed="false">
      <c r="A27" s="58" t="s">
        <v>504</v>
      </c>
      <c r="B27" s="58"/>
      <c r="C27" s="58"/>
      <c r="D27" s="58"/>
      <c r="E27" s="58"/>
    </row>
    <row r="28" customFormat="false" ht="30" hidden="false" customHeight="true" outlineLevel="0" collapsed="false">
      <c r="A28" s="36" t="s">
        <v>308</v>
      </c>
      <c r="B28" s="59" t="s">
        <v>470</v>
      </c>
      <c r="C28" s="59" t="s">
        <v>471</v>
      </c>
      <c r="D28" s="59" t="s">
        <v>472</v>
      </c>
      <c r="E28" s="59" t="s">
        <v>312</v>
      </c>
    </row>
    <row r="29" customFormat="false" ht="15" hidden="false" customHeight="true" outlineLevel="0" collapsed="false">
      <c r="A29" s="38" t="s">
        <v>316</v>
      </c>
      <c r="B29" s="40" t="s">
        <v>359</v>
      </c>
      <c r="C29" s="40" t="s">
        <v>359</v>
      </c>
      <c r="D29" s="40" t="s">
        <v>359</v>
      </c>
      <c r="E29" s="40"/>
    </row>
    <row r="30" customFormat="false" ht="15" hidden="false" customHeight="true" outlineLevel="0" collapsed="false">
      <c r="A30" s="49" t="s">
        <v>320</v>
      </c>
      <c r="B30" s="60" t="s">
        <v>359</v>
      </c>
      <c r="C30" s="60" t="s">
        <v>359</v>
      </c>
      <c r="D30" s="60" t="s">
        <v>359</v>
      </c>
      <c r="E30" s="60"/>
    </row>
    <row r="31" customFormat="false" ht="15" hidden="false" customHeight="true" outlineLevel="0" collapsed="false">
      <c r="A31" s="38" t="s">
        <v>324</v>
      </c>
      <c r="B31" s="40" t="s">
        <v>359</v>
      </c>
      <c r="C31" s="40" t="s">
        <v>359</v>
      </c>
      <c r="D31" s="40" t="s">
        <v>359</v>
      </c>
      <c r="E31" s="40"/>
    </row>
    <row r="32" customFormat="false" ht="15" hidden="false" customHeight="true" outlineLevel="0" collapsed="false">
      <c r="A32" s="49" t="s">
        <v>327</v>
      </c>
      <c r="B32" s="60" t="s">
        <v>359</v>
      </c>
      <c r="C32" s="60" t="s">
        <v>359</v>
      </c>
      <c r="D32" s="60" t="s">
        <v>359</v>
      </c>
      <c r="E32" s="60"/>
    </row>
    <row r="33" customFormat="false" ht="15" hidden="false" customHeight="true" outlineLevel="0" collapsed="false">
      <c r="A33" s="38" t="s">
        <v>330</v>
      </c>
      <c r="B33" s="40" t="s">
        <v>359</v>
      </c>
      <c r="C33" s="40" t="s">
        <v>359</v>
      </c>
      <c r="D33" s="40" t="s">
        <v>359</v>
      </c>
      <c r="E33" s="40"/>
    </row>
    <row r="34" customFormat="false" ht="15" hidden="false" customHeight="true" outlineLevel="0" collapsed="false">
      <c r="A34" s="49" t="s">
        <v>333</v>
      </c>
      <c r="B34" s="60" t="s">
        <v>359</v>
      </c>
      <c r="C34" s="60" t="s">
        <v>359</v>
      </c>
      <c r="D34" s="60" t="s">
        <v>359</v>
      </c>
      <c r="E34" s="60"/>
    </row>
    <row r="35" customFormat="false" ht="15" hidden="false" customHeight="true" outlineLevel="0" collapsed="false">
      <c r="A35" s="38" t="s">
        <v>336</v>
      </c>
      <c r="B35" s="40" t="s">
        <v>366</v>
      </c>
      <c r="C35" s="40" t="s">
        <v>366</v>
      </c>
      <c r="D35" s="40" t="s">
        <v>363</v>
      </c>
      <c r="E35" s="40"/>
    </row>
    <row r="36" customFormat="false" ht="15" hidden="false" customHeight="true" outlineLevel="0" collapsed="false">
      <c r="A36" s="49" t="s">
        <v>339</v>
      </c>
      <c r="B36" s="40" t="s">
        <v>366</v>
      </c>
      <c r="C36" s="40" t="s">
        <v>363</v>
      </c>
      <c r="D36" s="40" t="s">
        <v>365</v>
      </c>
      <c r="E36" s="60"/>
    </row>
    <row r="37" customFormat="false" ht="15" hidden="false" customHeight="true" outlineLevel="0" collapsed="false">
      <c r="A37" s="38" t="s">
        <v>437</v>
      </c>
      <c r="B37" s="40" t="s">
        <v>366</v>
      </c>
      <c r="C37" s="40" t="s">
        <v>363</v>
      </c>
      <c r="D37" s="40" t="s">
        <v>365</v>
      </c>
      <c r="E37" s="40"/>
    </row>
    <row r="38" customFormat="false" ht="15" hidden="false" customHeight="true" outlineLevel="0" collapsed="false">
      <c r="A38" s="49" t="s">
        <v>440</v>
      </c>
      <c r="B38" s="60" t="s">
        <v>366</v>
      </c>
      <c r="C38" s="60" t="s">
        <v>363</v>
      </c>
      <c r="D38" s="60" t="s">
        <v>365</v>
      </c>
      <c r="E38" s="60"/>
    </row>
    <row r="39" customFormat="false" ht="15" hidden="false" customHeight="true" outlineLevel="0" collapsed="false">
      <c r="A39" s="38" t="s">
        <v>443</v>
      </c>
      <c r="B39" s="40" t="s">
        <v>366</v>
      </c>
      <c r="C39" s="40" t="s">
        <v>363</v>
      </c>
      <c r="D39" s="40" t="s">
        <v>365</v>
      </c>
      <c r="E39" s="40"/>
    </row>
    <row r="40" customFormat="false" ht="15" hidden="false" customHeight="true" outlineLevel="0" collapsed="false">
      <c r="A40" s="49" t="s">
        <v>446</v>
      </c>
      <c r="B40" s="60" t="s">
        <v>366</v>
      </c>
      <c r="C40" s="60" t="s">
        <v>363</v>
      </c>
      <c r="D40" s="60" t="s">
        <v>365</v>
      </c>
      <c r="E40" s="60"/>
    </row>
    <row r="41" customFormat="false" ht="30" hidden="false" customHeight="true" outlineLevel="0" collapsed="false">
      <c r="A41" s="38" t="s">
        <v>449</v>
      </c>
      <c r="B41" s="39" t="s">
        <v>366</v>
      </c>
      <c r="C41" s="39" t="s">
        <v>363</v>
      </c>
      <c r="D41" s="39" t="s">
        <v>365</v>
      </c>
      <c r="E41" s="55"/>
    </row>
    <row r="42" customFormat="false" ht="30" hidden="false" customHeight="true" outlineLevel="0" collapsed="false">
      <c r="A42" s="49" t="s">
        <v>452</v>
      </c>
      <c r="B42" s="57" t="s">
        <v>366</v>
      </c>
      <c r="C42" s="57" t="s">
        <v>363</v>
      </c>
      <c r="D42" s="57" t="s">
        <v>365</v>
      </c>
      <c r="E42" s="57" t="s">
        <v>505</v>
      </c>
    </row>
    <row r="43" customFormat="false" ht="30" hidden="false" customHeight="true" outlineLevel="0" collapsed="false">
      <c r="A43" s="38" t="s">
        <v>455</v>
      </c>
      <c r="B43" s="55" t="s">
        <v>363</v>
      </c>
      <c r="C43" s="55" t="s">
        <v>365</v>
      </c>
      <c r="D43" s="55" t="s">
        <v>505</v>
      </c>
      <c r="E43" s="55"/>
    </row>
    <row r="44" customFormat="false" ht="30" hidden="false" customHeight="true" outlineLevel="0" collapsed="false">
      <c r="A44" s="49" t="s">
        <v>458</v>
      </c>
      <c r="B44" s="56" t="s">
        <v>363</v>
      </c>
      <c r="C44" s="56" t="s">
        <v>365</v>
      </c>
      <c r="D44" s="56" t="s">
        <v>505</v>
      </c>
      <c r="E44" s="56"/>
    </row>
    <row r="45" customFormat="false" ht="30" hidden="false" customHeight="true" outlineLevel="0" collapsed="false">
      <c r="A45" s="38" t="s">
        <v>354</v>
      </c>
      <c r="B45" s="55" t="s">
        <v>363</v>
      </c>
      <c r="C45" s="55" t="s">
        <v>365</v>
      </c>
      <c r="D45" s="55" t="s">
        <v>505</v>
      </c>
      <c r="E45" s="55"/>
    </row>
  </sheetData>
  <mergeCells count="7">
    <mergeCell ref="A1:E1"/>
    <mergeCell ref="A2:E2"/>
    <mergeCell ref="A3:E3"/>
    <mergeCell ref="A4:E4"/>
    <mergeCell ref="A5:E5"/>
    <mergeCell ref="A7:E7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5" min="2" style="1" width="19"/>
    <col collapsed="false" customWidth="true" hidden="false" outlineLevel="0" max="6" min="6" style="1" width="21"/>
  </cols>
  <sheetData>
    <row r="1" customFormat="false" ht="21.75" hidden="false" customHeight="true" outlineLevel="0" collapsed="false">
      <c r="A1" s="41" t="s">
        <v>506</v>
      </c>
      <c r="B1" s="41"/>
      <c r="C1" s="41"/>
      <c r="D1" s="41"/>
      <c r="E1" s="41"/>
      <c r="F1" s="41"/>
    </row>
    <row r="2" customFormat="false" ht="25.5" hidden="false" customHeight="true" outlineLevel="0" collapsed="false">
      <c r="A2" s="42" t="s">
        <v>507</v>
      </c>
      <c r="B2" s="42"/>
      <c r="C2" s="42"/>
      <c r="D2" s="42"/>
      <c r="E2" s="42"/>
      <c r="F2" s="42"/>
    </row>
    <row r="3" customFormat="false" ht="25.5" hidden="false" customHeight="true" outlineLevel="0" collapsed="false">
      <c r="A3" s="42" t="s">
        <v>508</v>
      </c>
      <c r="B3" s="42"/>
      <c r="C3" s="42"/>
      <c r="D3" s="42"/>
      <c r="E3" s="42"/>
      <c r="F3" s="42"/>
    </row>
    <row r="4" customFormat="false" ht="25.5" hidden="false" customHeight="true" outlineLevel="0" collapsed="false">
      <c r="A4" s="42" t="s">
        <v>509</v>
      </c>
      <c r="B4" s="42"/>
      <c r="C4" s="42"/>
      <c r="D4" s="42"/>
      <c r="E4" s="42"/>
      <c r="F4" s="42"/>
    </row>
    <row r="5" customFormat="false" ht="25.5" hidden="false" customHeight="true" outlineLevel="0" collapsed="false">
      <c r="A5" s="42" t="s">
        <v>510</v>
      </c>
      <c r="B5" s="42"/>
      <c r="C5" s="42"/>
      <c r="D5" s="42"/>
      <c r="E5" s="42"/>
      <c r="F5" s="42"/>
    </row>
    <row r="7" customFormat="false" ht="15" hidden="false" customHeight="true" outlineLevel="0" collapsed="false">
      <c r="A7" s="35" t="s">
        <v>469</v>
      </c>
      <c r="B7" s="35"/>
      <c r="C7" s="35"/>
      <c r="D7" s="35"/>
      <c r="E7" s="35"/>
      <c r="F7" s="35"/>
    </row>
    <row r="8" customFormat="false" ht="30" hidden="false" customHeight="true" outlineLevel="0" collapsed="false">
      <c r="A8" s="36" t="s">
        <v>308</v>
      </c>
      <c r="B8" s="37" t="s">
        <v>470</v>
      </c>
      <c r="C8" s="37" t="s">
        <v>471</v>
      </c>
      <c r="D8" s="37" t="s">
        <v>511</v>
      </c>
      <c r="E8" s="37" t="s">
        <v>512</v>
      </c>
      <c r="F8" s="37" t="s">
        <v>513</v>
      </c>
    </row>
    <row r="9" customFormat="false" ht="30" hidden="false" customHeight="true" outlineLevel="0" collapsed="false">
      <c r="A9" s="38" t="s">
        <v>316</v>
      </c>
      <c r="B9" s="55" t="s">
        <v>473</v>
      </c>
      <c r="C9" s="55" t="s">
        <v>514</v>
      </c>
      <c r="D9" s="55" t="s">
        <v>480</v>
      </c>
      <c r="E9" s="55" t="s">
        <v>491</v>
      </c>
      <c r="F9" s="55" t="s">
        <v>487</v>
      </c>
    </row>
    <row r="10" customFormat="false" ht="30" hidden="false" customHeight="true" outlineLevel="0" collapsed="false">
      <c r="A10" s="49" t="s">
        <v>320</v>
      </c>
      <c r="B10" s="56" t="s">
        <v>476</v>
      </c>
      <c r="C10" s="56" t="s">
        <v>485</v>
      </c>
      <c r="D10" s="56" t="s">
        <v>483</v>
      </c>
      <c r="E10" s="56" t="s">
        <v>515</v>
      </c>
      <c r="F10" s="56" t="s">
        <v>486</v>
      </c>
    </row>
    <row r="11" customFormat="false" ht="30" hidden="false" customHeight="true" outlineLevel="0" collapsed="false">
      <c r="A11" s="38" t="s">
        <v>324</v>
      </c>
      <c r="B11" s="55" t="s">
        <v>479</v>
      </c>
      <c r="C11" s="55" t="s">
        <v>480</v>
      </c>
      <c r="D11" s="55" t="s">
        <v>481</v>
      </c>
      <c r="E11" s="55" t="s">
        <v>497</v>
      </c>
      <c r="F11" s="55" t="s">
        <v>516</v>
      </c>
    </row>
    <row r="12" customFormat="false" ht="30" hidden="false" customHeight="true" outlineLevel="0" collapsed="false">
      <c r="A12" s="49" t="s">
        <v>327</v>
      </c>
      <c r="B12" s="56" t="s">
        <v>477</v>
      </c>
      <c r="C12" s="56" t="s">
        <v>491</v>
      </c>
      <c r="D12" s="56" t="s">
        <v>497</v>
      </c>
      <c r="E12" s="56" t="s">
        <v>490</v>
      </c>
      <c r="F12" s="56" t="s">
        <v>493</v>
      </c>
    </row>
    <row r="13" customFormat="false" ht="30" hidden="false" customHeight="true" outlineLevel="0" collapsed="false">
      <c r="A13" s="38" t="s">
        <v>330</v>
      </c>
      <c r="B13" s="55" t="s">
        <v>480</v>
      </c>
      <c r="C13" s="55" t="s">
        <v>487</v>
      </c>
      <c r="D13" s="55" t="s">
        <v>516</v>
      </c>
      <c r="E13" s="55" t="s">
        <v>493</v>
      </c>
      <c r="F13" s="55" t="s">
        <v>496</v>
      </c>
    </row>
    <row r="14" customFormat="false" ht="30" hidden="false" customHeight="true" outlineLevel="0" collapsed="false">
      <c r="A14" s="49" t="s">
        <v>333</v>
      </c>
      <c r="B14" s="56" t="s">
        <v>517</v>
      </c>
      <c r="C14" s="56" t="s">
        <v>518</v>
      </c>
      <c r="D14" s="56" t="s">
        <v>503</v>
      </c>
      <c r="E14" s="56" t="s">
        <v>493</v>
      </c>
      <c r="F14" s="56" t="s">
        <v>496</v>
      </c>
    </row>
    <row r="15" customFormat="false" ht="30" hidden="false" customHeight="true" outlineLevel="0" collapsed="false">
      <c r="A15" s="38" t="s">
        <v>336</v>
      </c>
      <c r="B15" s="55" t="s">
        <v>481</v>
      </c>
      <c r="C15" s="55" t="s">
        <v>501</v>
      </c>
      <c r="D15" s="55" t="s">
        <v>493</v>
      </c>
      <c r="E15" s="55" t="s">
        <v>496</v>
      </c>
      <c r="F15" s="55" t="s">
        <v>498</v>
      </c>
    </row>
    <row r="16" customFormat="false" ht="30" hidden="false" customHeight="true" outlineLevel="0" collapsed="false">
      <c r="A16" s="49" t="s">
        <v>339</v>
      </c>
      <c r="B16" s="56" t="s">
        <v>483</v>
      </c>
      <c r="C16" s="56" t="s">
        <v>500</v>
      </c>
      <c r="D16" s="56" t="s">
        <v>493</v>
      </c>
      <c r="E16" s="56" t="s">
        <v>498</v>
      </c>
      <c r="F16" s="56" t="s">
        <v>519</v>
      </c>
    </row>
    <row r="17" customFormat="false" ht="30" hidden="false" customHeight="true" outlineLevel="0" collapsed="false">
      <c r="A17" s="38" t="s">
        <v>437</v>
      </c>
      <c r="B17" s="55" t="s">
        <v>491</v>
      </c>
      <c r="C17" s="55" t="s">
        <v>490</v>
      </c>
      <c r="D17" s="55" t="s">
        <v>496</v>
      </c>
      <c r="E17" s="55" t="s">
        <v>502</v>
      </c>
      <c r="F17" s="55" t="s">
        <v>520</v>
      </c>
    </row>
    <row r="18" customFormat="false" ht="30" hidden="false" customHeight="true" outlineLevel="0" collapsed="false">
      <c r="A18" s="49" t="s">
        <v>440</v>
      </c>
      <c r="B18" s="56" t="s">
        <v>497</v>
      </c>
      <c r="C18" s="56" t="s">
        <v>493</v>
      </c>
      <c r="D18" s="56" t="s">
        <v>498</v>
      </c>
      <c r="E18" s="56" t="s">
        <v>519</v>
      </c>
      <c r="F18" s="56" t="s">
        <v>521</v>
      </c>
    </row>
    <row r="19" customFormat="false" ht="30" hidden="false" customHeight="true" outlineLevel="0" collapsed="false">
      <c r="A19" s="38" t="s">
        <v>443</v>
      </c>
      <c r="B19" s="55" t="s">
        <v>497</v>
      </c>
      <c r="C19" s="55" t="s">
        <v>493</v>
      </c>
      <c r="D19" s="55" t="s">
        <v>498</v>
      </c>
      <c r="E19" s="55" t="s">
        <v>519</v>
      </c>
      <c r="F19" s="55" t="s">
        <v>521</v>
      </c>
    </row>
    <row r="20" customFormat="false" ht="30" hidden="false" customHeight="true" outlineLevel="0" collapsed="false">
      <c r="A20" s="49" t="s">
        <v>446</v>
      </c>
      <c r="B20" s="56" t="s">
        <v>497</v>
      </c>
      <c r="C20" s="56" t="s">
        <v>493</v>
      </c>
      <c r="D20" s="56" t="s">
        <v>498</v>
      </c>
      <c r="E20" s="56" t="s">
        <v>519</v>
      </c>
      <c r="F20" s="56" t="s">
        <v>521</v>
      </c>
    </row>
    <row r="21" customFormat="false" ht="30" hidden="false" customHeight="true" outlineLevel="0" collapsed="false">
      <c r="A21" s="38" t="s">
        <v>449</v>
      </c>
      <c r="B21" s="55" t="s">
        <v>497</v>
      </c>
      <c r="C21" s="55" t="s">
        <v>493</v>
      </c>
      <c r="D21" s="55" t="s">
        <v>498</v>
      </c>
      <c r="E21" s="55" t="s">
        <v>519</v>
      </c>
      <c r="F21" s="55" t="s">
        <v>521</v>
      </c>
    </row>
    <row r="22" customFormat="false" ht="30" hidden="false" customHeight="true" outlineLevel="0" collapsed="false">
      <c r="A22" s="49" t="s">
        <v>452</v>
      </c>
      <c r="B22" s="56" t="s">
        <v>490</v>
      </c>
      <c r="C22" s="56" t="s">
        <v>496</v>
      </c>
      <c r="D22" s="56" t="s">
        <v>502</v>
      </c>
      <c r="E22" s="56" t="s">
        <v>520</v>
      </c>
      <c r="F22" s="56" t="s">
        <v>522</v>
      </c>
    </row>
    <row r="23" customFormat="false" ht="30" hidden="false" customHeight="true" outlineLevel="0" collapsed="false">
      <c r="A23" s="38" t="s">
        <v>455</v>
      </c>
      <c r="B23" s="55" t="s">
        <v>490</v>
      </c>
      <c r="C23" s="55" t="s">
        <v>496</v>
      </c>
      <c r="D23" s="55" t="s">
        <v>502</v>
      </c>
      <c r="E23" s="55" t="s">
        <v>520</v>
      </c>
      <c r="F23" s="55" t="s">
        <v>522</v>
      </c>
    </row>
    <row r="24" customFormat="false" ht="30" hidden="false" customHeight="true" outlineLevel="0" collapsed="false">
      <c r="A24" s="49" t="s">
        <v>458</v>
      </c>
      <c r="B24" s="56" t="s">
        <v>493</v>
      </c>
      <c r="C24" s="56" t="s">
        <v>498</v>
      </c>
      <c r="D24" s="56" t="s">
        <v>519</v>
      </c>
      <c r="E24" s="56" t="s">
        <v>521</v>
      </c>
      <c r="F24" s="56" t="s">
        <v>523</v>
      </c>
    </row>
    <row r="25" customFormat="false" ht="30" hidden="false" customHeight="true" outlineLevel="0" collapsed="false">
      <c r="A25" s="38" t="s">
        <v>354</v>
      </c>
      <c r="B25" s="55" t="s">
        <v>493</v>
      </c>
      <c r="C25" s="55" t="s">
        <v>498</v>
      </c>
      <c r="D25" s="55" t="s">
        <v>519</v>
      </c>
      <c r="E25" s="55" t="s">
        <v>521</v>
      </c>
      <c r="F25" s="55" t="s">
        <v>523</v>
      </c>
    </row>
    <row r="27" customFormat="false" ht="15" hidden="false" customHeight="true" outlineLevel="0" collapsed="false">
      <c r="A27" s="58" t="s">
        <v>524</v>
      </c>
      <c r="B27" s="58"/>
      <c r="C27" s="58"/>
      <c r="D27" s="58"/>
      <c r="E27" s="58"/>
      <c r="F27" s="58"/>
    </row>
    <row r="28" customFormat="false" ht="30" hidden="false" customHeight="true" outlineLevel="0" collapsed="false">
      <c r="A28" s="36" t="s">
        <v>308</v>
      </c>
      <c r="B28" s="59" t="s">
        <v>470</v>
      </c>
      <c r="C28" s="59" t="s">
        <v>471</v>
      </c>
      <c r="D28" s="59" t="s">
        <v>511</v>
      </c>
      <c r="E28" s="59" t="s">
        <v>512</v>
      </c>
      <c r="F28" s="59" t="s">
        <v>513</v>
      </c>
    </row>
    <row r="29" customFormat="false" ht="30" hidden="false" customHeight="true" outlineLevel="0" collapsed="false">
      <c r="A29" s="38" t="s">
        <v>316</v>
      </c>
      <c r="B29" s="55" t="s">
        <v>525</v>
      </c>
      <c r="C29" s="61" t="s">
        <v>525</v>
      </c>
      <c r="D29" s="55" t="s">
        <v>526</v>
      </c>
      <c r="E29" s="61" t="s">
        <v>526</v>
      </c>
      <c r="F29" s="55" t="s">
        <v>527</v>
      </c>
    </row>
    <row r="30" customFormat="false" ht="30" hidden="false" customHeight="true" outlineLevel="0" collapsed="false">
      <c r="A30" s="49" t="s">
        <v>320</v>
      </c>
      <c r="B30" s="62" t="s">
        <v>525</v>
      </c>
      <c r="C30" s="62" t="s">
        <v>526</v>
      </c>
      <c r="D30" s="62" t="s">
        <v>526</v>
      </c>
      <c r="E30" s="56" t="s">
        <v>527</v>
      </c>
      <c r="F30" s="62" t="s">
        <v>528</v>
      </c>
    </row>
    <row r="31" customFormat="false" ht="30" hidden="false" customHeight="true" outlineLevel="0" collapsed="false">
      <c r="A31" s="38" t="s">
        <v>324</v>
      </c>
      <c r="B31" s="61" t="s">
        <v>525</v>
      </c>
      <c r="C31" s="55" t="s">
        <v>526</v>
      </c>
      <c r="D31" s="55" t="s">
        <v>527</v>
      </c>
      <c r="E31" s="61" t="s">
        <v>527</v>
      </c>
      <c r="F31" s="55" t="s">
        <v>528</v>
      </c>
    </row>
    <row r="32" customFormat="false" ht="30" hidden="false" customHeight="true" outlineLevel="0" collapsed="false">
      <c r="A32" s="49" t="s">
        <v>327</v>
      </c>
      <c r="B32" s="62" t="s">
        <v>525</v>
      </c>
      <c r="C32" s="62" t="s">
        <v>526</v>
      </c>
      <c r="D32" s="56" t="s">
        <v>527</v>
      </c>
      <c r="E32" s="56" t="s">
        <v>528</v>
      </c>
      <c r="F32" s="56" t="s">
        <v>529</v>
      </c>
    </row>
    <row r="33" customFormat="false" ht="30" hidden="false" customHeight="true" outlineLevel="0" collapsed="false">
      <c r="A33" s="38" t="s">
        <v>330</v>
      </c>
      <c r="B33" s="55" t="s">
        <v>526</v>
      </c>
      <c r="C33" s="55" t="s">
        <v>527</v>
      </c>
      <c r="D33" s="55" t="s">
        <v>528</v>
      </c>
      <c r="E33" s="55" t="s">
        <v>529</v>
      </c>
      <c r="F33" s="55" t="s">
        <v>530</v>
      </c>
    </row>
    <row r="34" customFormat="false" ht="30" hidden="false" customHeight="true" outlineLevel="0" collapsed="false">
      <c r="A34" s="49" t="s">
        <v>333</v>
      </c>
      <c r="B34" s="56" t="s">
        <v>526</v>
      </c>
      <c r="C34" s="56" t="s">
        <v>527</v>
      </c>
      <c r="D34" s="56" t="s">
        <v>528</v>
      </c>
      <c r="E34" s="56" t="s">
        <v>529</v>
      </c>
      <c r="F34" s="56" t="s">
        <v>530</v>
      </c>
    </row>
    <row r="35" customFormat="false" ht="30" hidden="false" customHeight="true" outlineLevel="0" collapsed="false">
      <c r="A35" s="38" t="s">
        <v>336</v>
      </c>
      <c r="B35" s="55" t="s">
        <v>526</v>
      </c>
      <c r="C35" s="55" t="s">
        <v>527</v>
      </c>
      <c r="D35" s="55" t="s">
        <v>528</v>
      </c>
      <c r="E35" s="55" t="s">
        <v>530</v>
      </c>
      <c r="F35" s="55" t="s">
        <v>530</v>
      </c>
    </row>
    <row r="36" customFormat="false" ht="30" hidden="false" customHeight="true" outlineLevel="0" collapsed="false">
      <c r="A36" s="49" t="s">
        <v>339</v>
      </c>
      <c r="B36" s="62" t="s">
        <v>526</v>
      </c>
      <c r="C36" s="56" t="s">
        <v>528</v>
      </c>
      <c r="D36" s="56" t="s">
        <v>529</v>
      </c>
      <c r="E36" s="56" t="s">
        <v>530</v>
      </c>
      <c r="F36" s="56" t="s">
        <v>531</v>
      </c>
    </row>
    <row r="37" customFormat="false" ht="30" hidden="false" customHeight="true" outlineLevel="0" collapsed="false">
      <c r="A37" s="38" t="s">
        <v>437</v>
      </c>
      <c r="B37" s="39" t="s">
        <v>527</v>
      </c>
      <c r="C37" s="55" t="s">
        <v>528</v>
      </c>
      <c r="D37" s="55" t="s">
        <v>530</v>
      </c>
      <c r="E37" s="55" t="s">
        <v>530</v>
      </c>
      <c r="F37" s="55" t="s">
        <v>531</v>
      </c>
    </row>
    <row r="38" customFormat="false" ht="30" hidden="false" customHeight="true" outlineLevel="0" collapsed="false">
      <c r="A38" s="49" t="s">
        <v>440</v>
      </c>
      <c r="B38" s="57" t="s">
        <v>527</v>
      </c>
      <c r="C38" s="56" t="s">
        <v>528</v>
      </c>
      <c r="D38" s="56" t="s">
        <v>530</v>
      </c>
      <c r="E38" s="56" t="s">
        <v>531</v>
      </c>
      <c r="F38" s="56" t="s">
        <v>531</v>
      </c>
    </row>
    <row r="39" customFormat="false" ht="30" hidden="false" customHeight="true" outlineLevel="0" collapsed="false">
      <c r="A39" s="38" t="s">
        <v>443</v>
      </c>
      <c r="B39" s="39" t="s">
        <v>527</v>
      </c>
      <c r="C39" s="55" t="s">
        <v>529</v>
      </c>
      <c r="D39" s="55" t="s">
        <v>530</v>
      </c>
      <c r="E39" s="55" t="s">
        <v>531</v>
      </c>
      <c r="F39" s="55" t="s">
        <v>532</v>
      </c>
    </row>
    <row r="40" customFormat="false" ht="30" hidden="false" customHeight="true" outlineLevel="0" collapsed="false">
      <c r="A40" s="49" t="s">
        <v>446</v>
      </c>
      <c r="B40" s="57" t="s">
        <v>527</v>
      </c>
      <c r="C40" s="56" t="s">
        <v>529</v>
      </c>
      <c r="D40" s="56" t="s">
        <v>530</v>
      </c>
      <c r="E40" s="56" t="s">
        <v>531</v>
      </c>
      <c r="F40" s="56" t="s">
        <v>532</v>
      </c>
    </row>
    <row r="41" customFormat="false" ht="30" hidden="false" customHeight="true" outlineLevel="0" collapsed="false">
      <c r="A41" s="38" t="s">
        <v>449</v>
      </c>
      <c r="B41" s="55" t="s">
        <v>363</v>
      </c>
      <c r="C41" s="55" t="s">
        <v>365</v>
      </c>
      <c r="D41" s="55" t="s">
        <v>505</v>
      </c>
      <c r="E41" s="55" t="s">
        <v>533</v>
      </c>
      <c r="F41" s="55" t="s">
        <v>534</v>
      </c>
    </row>
    <row r="42" customFormat="false" ht="30" hidden="false" customHeight="true" outlineLevel="0" collapsed="false">
      <c r="A42" s="49" t="s">
        <v>452</v>
      </c>
      <c r="B42" s="56" t="s">
        <v>363</v>
      </c>
      <c r="C42" s="56" t="s">
        <v>365</v>
      </c>
      <c r="D42" s="56" t="s">
        <v>505</v>
      </c>
      <c r="E42" s="56" t="s">
        <v>533</v>
      </c>
      <c r="F42" s="56" t="s">
        <v>534</v>
      </c>
    </row>
    <row r="43" customFormat="false" ht="30" hidden="false" customHeight="true" outlineLevel="0" collapsed="false">
      <c r="A43" s="38" t="s">
        <v>455</v>
      </c>
      <c r="B43" s="55" t="s">
        <v>363</v>
      </c>
      <c r="C43" s="55" t="s">
        <v>365</v>
      </c>
      <c r="D43" s="55" t="s">
        <v>505</v>
      </c>
      <c r="E43" s="55" t="s">
        <v>533</v>
      </c>
      <c r="F43" s="55" t="s">
        <v>534</v>
      </c>
    </row>
    <row r="44" customFormat="false" ht="30" hidden="false" customHeight="true" outlineLevel="0" collapsed="false">
      <c r="A44" s="49" t="s">
        <v>458</v>
      </c>
      <c r="B44" s="56" t="s">
        <v>363</v>
      </c>
      <c r="C44" s="56" t="s">
        <v>365</v>
      </c>
      <c r="D44" s="56" t="s">
        <v>505</v>
      </c>
      <c r="E44" s="56" t="s">
        <v>533</v>
      </c>
      <c r="F44" s="56" t="s">
        <v>534</v>
      </c>
    </row>
    <row r="45" customFormat="false" ht="30" hidden="false" customHeight="true" outlineLevel="0" collapsed="false">
      <c r="A45" s="38" t="s">
        <v>354</v>
      </c>
      <c r="B45" s="55" t="s">
        <v>363</v>
      </c>
      <c r="C45" s="55" t="s">
        <v>365</v>
      </c>
      <c r="D45" s="55" t="s">
        <v>505</v>
      </c>
      <c r="E45" s="55" t="s">
        <v>533</v>
      </c>
      <c r="F45" s="55" t="s">
        <v>534</v>
      </c>
    </row>
  </sheetData>
  <mergeCells count="7">
    <mergeCell ref="A1:F1"/>
    <mergeCell ref="A2:F2"/>
    <mergeCell ref="A3:F3"/>
    <mergeCell ref="A4:F4"/>
    <mergeCell ref="A5:F5"/>
    <mergeCell ref="A7:F7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7" min="2" style="1" width="15"/>
    <col collapsed="false" customWidth="true" hidden="false" outlineLevel="0" max="11" min="8" style="1" width="13"/>
    <col collapsed="false" customWidth="true" hidden="false" outlineLevel="0" max="12" min="12" style="1" width="17"/>
  </cols>
  <sheetData>
    <row r="1" customFormat="false" ht="21.75" hidden="false" customHeight="true" outlineLevel="0" collapsed="false">
      <c r="A1" s="41" t="s">
        <v>535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customFormat="false" ht="25.5" hidden="false" customHeight="true" outlineLevel="0" collapsed="false">
      <c r="A2" s="42" t="s">
        <v>536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customFormat="false" ht="25.5" hidden="false" customHeight="true" outlineLevel="0" collapsed="false">
      <c r="A3" s="42" t="s">
        <v>537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customFormat="false" ht="25.5" hidden="false" customHeight="true" outlineLevel="0" collapsed="false">
      <c r="A4" s="42" t="s">
        <v>538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customFormat="false" ht="25.5" hidden="false" customHeight="true" outlineLevel="0" collapsed="false">
      <c r="A5" s="42" t="s">
        <v>539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7" customFormat="false" ht="15" hidden="false" customHeight="true" outlineLevel="0" collapsed="false">
      <c r="A7" s="35" t="s">
        <v>540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</row>
    <row r="8" customFormat="false" ht="30" hidden="false" customHeight="true" outlineLevel="0" collapsed="false">
      <c r="A8" s="36" t="s">
        <v>308</v>
      </c>
      <c r="B8" s="37" t="s">
        <v>309</v>
      </c>
      <c r="C8" s="37" t="s">
        <v>310</v>
      </c>
      <c r="D8" s="37" t="s">
        <v>311</v>
      </c>
      <c r="E8" s="37" t="s">
        <v>312</v>
      </c>
      <c r="F8" s="37" t="s">
        <v>313</v>
      </c>
      <c r="G8" s="37" t="s">
        <v>314</v>
      </c>
      <c r="H8" s="37" t="s">
        <v>541</v>
      </c>
      <c r="I8" s="37" t="s">
        <v>542</v>
      </c>
      <c r="J8" s="37" t="s">
        <v>543</v>
      </c>
      <c r="K8" s="37" t="s">
        <v>544</v>
      </c>
      <c r="L8" s="63" t="s">
        <v>315</v>
      </c>
    </row>
    <row r="9" customFormat="false" ht="30" hidden="false" customHeight="true" outlineLevel="0" collapsed="false">
      <c r="A9" s="38" t="s">
        <v>316</v>
      </c>
      <c r="B9" s="55" t="s">
        <v>545</v>
      </c>
      <c r="C9" s="55" t="s">
        <v>546</v>
      </c>
      <c r="D9" s="55" t="s">
        <v>547</v>
      </c>
      <c r="E9" s="55" t="s">
        <v>317</v>
      </c>
      <c r="F9" s="55" t="s">
        <v>321</v>
      </c>
      <c r="G9" s="55" t="s">
        <v>325</v>
      </c>
      <c r="H9" s="55" t="s">
        <v>548</v>
      </c>
      <c r="I9" s="55"/>
      <c r="J9" s="55"/>
      <c r="K9" s="55"/>
      <c r="L9" s="48" t="s">
        <v>284</v>
      </c>
    </row>
    <row r="10" customFormat="false" ht="30" hidden="false" customHeight="true" outlineLevel="0" collapsed="false">
      <c r="A10" s="49" t="s">
        <v>320</v>
      </c>
      <c r="B10" s="56" t="s">
        <v>545</v>
      </c>
      <c r="C10" s="56" t="s">
        <v>547</v>
      </c>
      <c r="D10" s="56" t="s">
        <v>317</v>
      </c>
      <c r="E10" s="56" t="s">
        <v>325</v>
      </c>
      <c r="F10" s="56" t="s">
        <v>548</v>
      </c>
      <c r="G10" s="56" t="s">
        <v>318</v>
      </c>
      <c r="H10" s="56"/>
      <c r="I10" s="56"/>
      <c r="J10" s="56"/>
      <c r="K10" s="56"/>
      <c r="L10" s="52" t="s">
        <v>284</v>
      </c>
    </row>
    <row r="11" customFormat="false" ht="30" hidden="false" customHeight="true" outlineLevel="0" collapsed="false">
      <c r="A11" s="38" t="s">
        <v>324</v>
      </c>
      <c r="B11" s="55" t="s">
        <v>546</v>
      </c>
      <c r="C11" s="55" t="s">
        <v>317</v>
      </c>
      <c r="D11" s="55" t="s">
        <v>325</v>
      </c>
      <c r="E11" s="55" t="s">
        <v>328</v>
      </c>
      <c r="F11" s="55" t="s">
        <v>334</v>
      </c>
      <c r="G11" s="55" t="s">
        <v>340</v>
      </c>
      <c r="H11" s="55"/>
      <c r="I11" s="55"/>
      <c r="J11" s="55"/>
      <c r="K11" s="55"/>
      <c r="L11" s="48" t="s">
        <v>284</v>
      </c>
    </row>
    <row r="12" customFormat="false" ht="30" hidden="false" customHeight="true" outlineLevel="0" collapsed="false">
      <c r="A12" s="49" t="s">
        <v>327</v>
      </c>
      <c r="B12" s="56" t="s">
        <v>549</v>
      </c>
      <c r="C12" s="56" t="s">
        <v>547</v>
      </c>
      <c r="D12" s="56" t="s">
        <v>321</v>
      </c>
      <c r="E12" s="56" t="s">
        <v>328</v>
      </c>
      <c r="F12" s="56" t="s">
        <v>334</v>
      </c>
      <c r="G12" s="56" t="s">
        <v>550</v>
      </c>
      <c r="H12" s="56"/>
      <c r="I12" s="56"/>
      <c r="J12" s="56"/>
      <c r="K12" s="56"/>
      <c r="L12" s="52" t="s">
        <v>284</v>
      </c>
    </row>
    <row r="13" customFormat="false" ht="30" hidden="false" customHeight="true" outlineLevel="0" collapsed="false">
      <c r="A13" s="38" t="s">
        <v>330</v>
      </c>
      <c r="B13" s="55" t="s">
        <v>549</v>
      </c>
      <c r="C13" s="55" t="s">
        <v>547</v>
      </c>
      <c r="D13" s="55" t="s">
        <v>325</v>
      </c>
      <c r="E13" s="55" t="s">
        <v>318</v>
      </c>
      <c r="F13" s="55" t="s">
        <v>340</v>
      </c>
      <c r="G13" s="55" t="s">
        <v>551</v>
      </c>
      <c r="H13" s="55"/>
      <c r="I13" s="55"/>
      <c r="J13" s="55"/>
      <c r="K13" s="55"/>
      <c r="L13" s="48" t="s">
        <v>284</v>
      </c>
    </row>
    <row r="14" customFormat="false" ht="30" hidden="false" customHeight="true" outlineLevel="0" collapsed="false">
      <c r="A14" s="49" t="s">
        <v>333</v>
      </c>
      <c r="B14" s="56" t="s">
        <v>545</v>
      </c>
      <c r="C14" s="56" t="s">
        <v>317</v>
      </c>
      <c r="D14" s="56" t="s">
        <v>548</v>
      </c>
      <c r="E14" s="56" t="s">
        <v>334</v>
      </c>
      <c r="F14" s="56" t="s">
        <v>550</v>
      </c>
      <c r="G14" s="56" t="s">
        <v>552</v>
      </c>
      <c r="H14" s="56" t="s">
        <v>331</v>
      </c>
      <c r="I14" s="56"/>
      <c r="J14" s="56"/>
      <c r="K14" s="56"/>
      <c r="L14" s="52" t="s">
        <v>284</v>
      </c>
    </row>
    <row r="15" customFormat="false" ht="30" hidden="false" customHeight="true" outlineLevel="0" collapsed="false">
      <c r="A15" s="38" t="s">
        <v>336</v>
      </c>
      <c r="B15" s="55" t="s">
        <v>545</v>
      </c>
      <c r="C15" s="55" t="s">
        <v>321</v>
      </c>
      <c r="D15" s="55" t="s">
        <v>328</v>
      </c>
      <c r="E15" s="55" t="s">
        <v>340</v>
      </c>
      <c r="F15" s="55" t="s">
        <v>551</v>
      </c>
      <c r="G15" s="55" t="s">
        <v>331</v>
      </c>
      <c r="H15" s="55"/>
      <c r="I15" s="55"/>
      <c r="J15" s="55"/>
      <c r="K15" s="55"/>
      <c r="L15" s="48" t="s">
        <v>284</v>
      </c>
    </row>
    <row r="16" customFormat="false" ht="30" hidden="false" customHeight="true" outlineLevel="0" collapsed="false">
      <c r="A16" s="49" t="s">
        <v>339</v>
      </c>
      <c r="B16" s="56" t="s">
        <v>545</v>
      </c>
      <c r="C16" s="56" t="s">
        <v>321</v>
      </c>
      <c r="D16" s="56" t="s">
        <v>318</v>
      </c>
      <c r="E16" s="56" t="s">
        <v>550</v>
      </c>
      <c r="F16" s="56" t="s">
        <v>323</v>
      </c>
      <c r="G16" s="56" t="s">
        <v>553</v>
      </c>
      <c r="H16" s="56"/>
      <c r="I16" s="56"/>
      <c r="J16" s="56"/>
      <c r="K16" s="56"/>
      <c r="L16" s="52" t="s">
        <v>284</v>
      </c>
    </row>
    <row r="17" customFormat="false" ht="30" hidden="false" customHeight="true" outlineLevel="0" collapsed="false">
      <c r="A17" s="38" t="s">
        <v>437</v>
      </c>
      <c r="B17" s="55" t="s">
        <v>546</v>
      </c>
      <c r="C17" s="55" t="s">
        <v>325</v>
      </c>
      <c r="D17" s="55" t="s">
        <v>322</v>
      </c>
      <c r="E17" s="55" t="s">
        <v>551</v>
      </c>
      <c r="F17" s="55" t="s">
        <v>554</v>
      </c>
      <c r="G17" s="55" t="s">
        <v>337</v>
      </c>
      <c r="H17" s="55"/>
      <c r="I17" s="55"/>
      <c r="J17" s="55"/>
      <c r="K17" s="55"/>
      <c r="L17" s="48" t="s">
        <v>284</v>
      </c>
    </row>
    <row r="18" customFormat="false" ht="30" hidden="false" customHeight="true" outlineLevel="0" collapsed="false">
      <c r="A18" s="49" t="s">
        <v>440</v>
      </c>
      <c r="B18" s="56" t="s">
        <v>546</v>
      </c>
      <c r="C18" s="56" t="s">
        <v>548</v>
      </c>
      <c r="D18" s="56" t="s">
        <v>322</v>
      </c>
      <c r="E18" s="56" t="s">
        <v>552</v>
      </c>
      <c r="F18" s="56" t="s">
        <v>554</v>
      </c>
      <c r="G18" s="56" t="s">
        <v>555</v>
      </c>
      <c r="H18" s="56"/>
      <c r="I18" s="56"/>
      <c r="J18" s="56"/>
      <c r="K18" s="56"/>
      <c r="L18" s="52" t="s">
        <v>284</v>
      </c>
    </row>
    <row r="19" customFormat="false" ht="30" hidden="false" customHeight="true" outlineLevel="0" collapsed="false">
      <c r="A19" s="38" t="s">
        <v>443</v>
      </c>
      <c r="B19" s="55" t="s">
        <v>546</v>
      </c>
      <c r="C19" s="55" t="s">
        <v>328</v>
      </c>
      <c r="D19" s="55" t="s">
        <v>340</v>
      </c>
      <c r="E19" s="55" t="s">
        <v>556</v>
      </c>
      <c r="F19" s="55" t="s">
        <v>326</v>
      </c>
      <c r="G19" s="55" t="s">
        <v>557</v>
      </c>
      <c r="H19" s="55"/>
      <c r="I19" s="55"/>
      <c r="J19" s="55"/>
      <c r="K19" s="55"/>
      <c r="L19" s="48" t="s">
        <v>284</v>
      </c>
    </row>
    <row r="20" customFormat="false" ht="30" hidden="false" customHeight="true" outlineLevel="0" collapsed="false">
      <c r="A20" s="49" t="s">
        <v>446</v>
      </c>
      <c r="B20" s="56" t="s">
        <v>547</v>
      </c>
      <c r="C20" s="56" t="s">
        <v>318</v>
      </c>
      <c r="D20" s="56" t="s">
        <v>319</v>
      </c>
      <c r="E20" s="56" t="s">
        <v>554</v>
      </c>
      <c r="F20" s="56" t="s">
        <v>555</v>
      </c>
      <c r="G20" s="56" t="s">
        <v>558</v>
      </c>
      <c r="H20" s="56"/>
      <c r="I20" s="56"/>
      <c r="J20" s="56"/>
      <c r="K20" s="56"/>
      <c r="L20" s="52" t="s">
        <v>284</v>
      </c>
    </row>
    <row r="21" customFormat="false" ht="30" hidden="false" customHeight="true" outlineLevel="0" collapsed="false">
      <c r="A21" s="38" t="s">
        <v>449</v>
      </c>
      <c r="B21" s="55" t="s">
        <v>547</v>
      </c>
      <c r="C21" s="55" t="s">
        <v>318</v>
      </c>
      <c r="D21" s="55" t="s">
        <v>551</v>
      </c>
      <c r="E21" s="55" t="s">
        <v>553</v>
      </c>
      <c r="F21" s="55" t="s">
        <v>341</v>
      </c>
      <c r="G21" s="55" t="s">
        <v>346</v>
      </c>
      <c r="H21" s="55"/>
      <c r="I21" s="55"/>
      <c r="J21" s="55"/>
      <c r="K21" s="55"/>
      <c r="L21" s="48" t="s">
        <v>284</v>
      </c>
    </row>
    <row r="22" customFormat="false" ht="30" hidden="false" customHeight="true" outlineLevel="0" collapsed="false">
      <c r="A22" s="49" t="s">
        <v>452</v>
      </c>
      <c r="B22" s="56" t="s">
        <v>317</v>
      </c>
      <c r="C22" s="56" t="s">
        <v>334</v>
      </c>
      <c r="D22" s="56" t="s">
        <v>552</v>
      </c>
      <c r="E22" s="56" t="s">
        <v>326</v>
      </c>
      <c r="F22" s="56" t="s">
        <v>557</v>
      </c>
      <c r="G22" s="56" t="s">
        <v>335</v>
      </c>
      <c r="H22" s="56"/>
      <c r="I22" s="56"/>
      <c r="J22" s="56"/>
      <c r="K22" s="56"/>
      <c r="L22" s="52" t="s">
        <v>284</v>
      </c>
    </row>
    <row r="23" customFormat="false" ht="30" hidden="false" customHeight="true" outlineLevel="0" collapsed="false">
      <c r="A23" s="38" t="s">
        <v>455</v>
      </c>
      <c r="B23" s="55" t="s">
        <v>317</v>
      </c>
      <c r="C23" s="55" t="s">
        <v>322</v>
      </c>
      <c r="D23" s="55" t="s">
        <v>323</v>
      </c>
      <c r="E23" s="55" t="s">
        <v>337</v>
      </c>
      <c r="F23" s="55" t="s">
        <v>332</v>
      </c>
      <c r="G23" s="55" t="s">
        <v>338</v>
      </c>
      <c r="H23" s="55"/>
      <c r="I23" s="55"/>
      <c r="J23" s="55"/>
      <c r="K23" s="55"/>
      <c r="L23" s="48" t="s">
        <v>284</v>
      </c>
    </row>
    <row r="24" customFormat="false" ht="30" hidden="false" customHeight="true" outlineLevel="0" collapsed="false">
      <c r="A24" s="49" t="s">
        <v>458</v>
      </c>
      <c r="B24" s="56" t="s">
        <v>317</v>
      </c>
      <c r="C24" s="56" t="s">
        <v>322</v>
      </c>
      <c r="D24" s="56" t="s">
        <v>556</v>
      </c>
      <c r="E24" s="56" t="s">
        <v>555</v>
      </c>
      <c r="F24" s="56" t="s">
        <v>559</v>
      </c>
      <c r="G24" s="56" t="s">
        <v>560</v>
      </c>
      <c r="H24" s="56"/>
      <c r="I24" s="56"/>
      <c r="J24" s="56"/>
      <c r="K24" s="56"/>
      <c r="L24" s="52" t="s">
        <v>284</v>
      </c>
    </row>
    <row r="25" customFormat="false" ht="30" hidden="false" customHeight="true" outlineLevel="0" collapsed="false">
      <c r="A25" s="38" t="s">
        <v>561</v>
      </c>
      <c r="B25" s="39" t="s">
        <v>355</v>
      </c>
      <c r="C25" s="39" t="s">
        <v>355</v>
      </c>
      <c r="D25" s="55" t="s">
        <v>347</v>
      </c>
      <c r="E25" s="39" t="s">
        <v>347</v>
      </c>
      <c r="F25" s="39" t="s">
        <v>356</v>
      </c>
      <c r="G25" s="39" t="s">
        <v>356</v>
      </c>
      <c r="H25" s="39" t="s">
        <v>562</v>
      </c>
      <c r="I25" s="39"/>
      <c r="J25" s="55"/>
      <c r="K25" s="55"/>
      <c r="L25" s="48" t="s">
        <v>290</v>
      </c>
    </row>
    <row r="27" customFormat="false" ht="15" hidden="false" customHeight="true" outlineLevel="0" collapsed="false">
      <c r="A27" s="58" t="s">
        <v>563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</row>
    <row r="28" customFormat="false" ht="30" hidden="false" customHeight="true" outlineLevel="0" collapsed="false">
      <c r="A28" s="36" t="s">
        <v>308</v>
      </c>
      <c r="B28" s="59" t="s">
        <v>309</v>
      </c>
      <c r="C28" s="59" t="s">
        <v>310</v>
      </c>
      <c r="D28" s="59" t="s">
        <v>311</v>
      </c>
      <c r="E28" s="59" t="s">
        <v>312</v>
      </c>
      <c r="F28" s="59" t="s">
        <v>313</v>
      </c>
      <c r="G28" s="59" t="s">
        <v>314</v>
      </c>
      <c r="H28" s="59" t="s">
        <v>541</v>
      </c>
      <c r="I28" s="59" t="s">
        <v>542</v>
      </c>
      <c r="J28" s="59" t="s">
        <v>543</v>
      </c>
      <c r="K28" s="59" t="s">
        <v>544</v>
      </c>
      <c r="L28" s="63" t="s">
        <v>315</v>
      </c>
    </row>
    <row r="29" customFormat="false" ht="15" hidden="false" customHeight="true" outlineLevel="0" collapsed="false">
      <c r="A29" s="38" t="s">
        <v>316</v>
      </c>
      <c r="B29" s="40" t="s">
        <v>359</v>
      </c>
      <c r="C29" s="40" t="s">
        <v>359</v>
      </c>
      <c r="D29" s="40" t="s">
        <v>359</v>
      </c>
      <c r="E29" s="40" t="s">
        <v>359</v>
      </c>
      <c r="F29" s="40" t="s">
        <v>359</v>
      </c>
      <c r="G29" s="40" t="s">
        <v>359</v>
      </c>
      <c r="H29" s="61"/>
      <c r="I29" s="61"/>
      <c r="J29" s="61"/>
      <c r="K29" s="61"/>
      <c r="L29" s="48" t="s">
        <v>284</v>
      </c>
    </row>
    <row r="30" customFormat="false" ht="30" hidden="false" customHeight="true" outlineLevel="0" collapsed="false">
      <c r="A30" s="49" t="s">
        <v>320</v>
      </c>
      <c r="B30" s="60" t="s">
        <v>359</v>
      </c>
      <c r="C30" s="60" t="s">
        <v>359</v>
      </c>
      <c r="D30" s="60" t="s">
        <v>359</v>
      </c>
      <c r="E30" s="60" t="s">
        <v>359</v>
      </c>
      <c r="F30" s="60" t="s">
        <v>359</v>
      </c>
      <c r="G30" s="57" t="s">
        <v>359</v>
      </c>
      <c r="H30" s="56"/>
      <c r="I30" s="56"/>
      <c r="J30" s="56"/>
      <c r="K30" s="56"/>
      <c r="L30" s="52" t="s">
        <v>284</v>
      </c>
    </row>
    <row r="31" customFormat="false" ht="30" hidden="false" customHeight="true" outlineLevel="0" collapsed="false">
      <c r="A31" s="38" t="s">
        <v>324</v>
      </c>
      <c r="B31" s="40" t="s">
        <v>359</v>
      </c>
      <c r="C31" s="40" t="s">
        <v>359</v>
      </c>
      <c r="D31" s="40" t="s">
        <v>359</v>
      </c>
      <c r="E31" s="40" t="s">
        <v>359</v>
      </c>
      <c r="F31" s="39" t="s">
        <v>359</v>
      </c>
      <c r="G31" s="40" t="s">
        <v>359</v>
      </c>
      <c r="H31" s="61"/>
      <c r="I31" s="61"/>
      <c r="J31" s="61"/>
      <c r="K31" s="61"/>
      <c r="L31" s="48" t="s">
        <v>284</v>
      </c>
    </row>
    <row r="32" customFormat="false" ht="30" hidden="false" customHeight="true" outlineLevel="0" collapsed="false">
      <c r="A32" s="49" t="s">
        <v>327</v>
      </c>
      <c r="B32" s="60" t="s">
        <v>359</v>
      </c>
      <c r="C32" s="60" t="s">
        <v>359</v>
      </c>
      <c r="D32" s="60" t="s">
        <v>359</v>
      </c>
      <c r="E32" s="57" t="s">
        <v>359</v>
      </c>
      <c r="F32" s="60" t="s">
        <v>359</v>
      </c>
      <c r="G32" s="57" t="s">
        <v>359</v>
      </c>
      <c r="H32" s="56"/>
      <c r="I32" s="56"/>
      <c r="J32" s="56"/>
      <c r="K32" s="56"/>
      <c r="L32" s="52" t="s">
        <v>284</v>
      </c>
    </row>
    <row r="33" customFormat="false" ht="30" hidden="false" customHeight="true" outlineLevel="0" collapsed="false">
      <c r="A33" s="38" t="s">
        <v>330</v>
      </c>
      <c r="B33" s="39" t="s">
        <v>359</v>
      </c>
      <c r="C33" s="40" t="s">
        <v>359</v>
      </c>
      <c r="D33" s="39" t="s">
        <v>359</v>
      </c>
      <c r="E33" s="40" t="s">
        <v>359</v>
      </c>
      <c r="F33" s="39" t="s">
        <v>359</v>
      </c>
      <c r="G33" s="39" t="s">
        <v>359</v>
      </c>
      <c r="H33" s="55"/>
      <c r="I33" s="55"/>
      <c r="J33" s="55"/>
      <c r="K33" s="55"/>
      <c r="L33" s="48" t="s">
        <v>284</v>
      </c>
    </row>
    <row r="34" customFormat="false" ht="30" hidden="false" customHeight="true" outlineLevel="0" collapsed="false">
      <c r="A34" s="49" t="s">
        <v>333</v>
      </c>
      <c r="B34" s="56" t="s">
        <v>564</v>
      </c>
      <c r="C34" s="62" t="s">
        <v>564</v>
      </c>
      <c r="D34" s="56" t="s">
        <v>565</v>
      </c>
      <c r="E34" s="62" t="s">
        <v>565</v>
      </c>
      <c r="F34" s="56" t="s">
        <v>566</v>
      </c>
      <c r="G34" s="56" t="s">
        <v>566</v>
      </c>
      <c r="H34" s="56"/>
      <c r="I34" s="56"/>
      <c r="J34" s="56"/>
      <c r="K34" s="56"/>
      <c r="L34" s="52" t="s">
        <v>284</v>
      </c>
    </row>
    <row r="35" customFormat="false" ht="30" hidden="false" customHeight="true" outlineLevel="0" collapsed="false">
      <c r="A35" s="38" t="s">
        <v>336</v>
      </c>
      <c r="B35" s="55" t="s">
        <v>564</v>
      </c>
      <c r="C35" s="61" t="s">
        <v>564</v>
      </c>
      <c r="D35" s="55" t="s">
        <v>565</v>
      </c>
      <c r="E35" s="55" t="s">
        <v>565</v>
      </c>
      <c r="F35" s="55" t="s">
        <v>566</v>
      </c>
      <c r="G35" s="55" t="s">
        <v>566</v>
      </c>
      <c r="H35" s="55" t="s">
        <v>567</v>
      </c>
      <c r="I35" s="55"/>
      <c r="J35" s="55"/>
      <c r="K35" s="55"/>
      <c r="L35" s="48" t="s">
        <v>284</v>
      </c>
    </row>
    <row r="36" customFormat="false" ht="30" hidden="false" customHeight="true" outlineLevel="0" collapsed="false">
      <c r="A36" s="49" t="s">
        <v>339</v>
      </c>
      <c r="B36" s="62" t="s">
        <v>564</v>
      </c>
      <c r="C36" s="56" t="s">
        <v>564</v>
      </c>
      <c r="D36" s="62" t="s">
        <v>565</v>
      </c>
      <c r="E36" s="56" t="s">
        <v>565</v>
      </c>
      <c r="F36" s="56" t="s">
        <v>566</v>
      </c>
      <c r="G36" s="56" t="s">
        <v>566</v>
      </c>
      <c r="H36" s="56" t="s">
        <v>567</v>
      </c>
      <c r="I36" s="56"/>
      <c r="J36" s="56"/>
      <c r="K36" s="56"/>
      <c r="L36" s="52" t="s">
        <v>284</v>
      </c>
    </row>
    <row r="37" customFormat="false" ht="30" hidden="false" customHeight="true" outlineLevel="0" collapsed="false">
      <c r="A37" s="38" t="s">
        <v>437</v>
      </c>
      <c r="B37" s="61" t="s">
        <v>564</v>
      </c>
      <c r="C37" s="55" t="s">
        <v>564</v>
      </c>
      <c r="D37" s="55" t="s">
        <v>565</v>
      </c>
      <c r="E37" s="55" t="s">
        <v>565</v>
      </c>
      <c r="F37" s="55" t="s">
        <v>566</v>
      </c>
      <c r="G37" s="55" t="s">
        <v>566</v>
      </c>
      <c r="H37" s="55" t="s">
        <v>567</v>
      </c>
      <c r="I37" s="55"/>
      <c r="J37" s="55"/>
      <c r="K37" s="55"/>
      <c r="L37" s="48" t="s">
        <v>284</v>
      </c>
    </row>
    <row r="38" customFormat="false" ht="30" hidden="false" customHeight="true" outlineLevel="0" collapsed="false">
      <c r="A38" s="49" t="s">
        <v>440</v>
      </c>
      <c r="B38" s="62" t="s">
        <v>564</v>
      </c>
      <c r="C38" s="56" t="s">
        <v>564</v>
      </c>
      <c r="D38" s="56" t="s">
        <v>565</v>
      </c>
      <c r="E38" s="56" t="s">
        <v>565</v>
      </c>
      <c r="F38" s="56" t="s">
        <v>566</v>
      </c>
      <c r="G38" s="56" t="s">
        <v>566</v>
      </c>
      <c r="H38" s="56" t="s">
        <v>567</v>
      </c>
      <c r="I38" s="56" t="s">
        <v>567</v>
      </c>
      <c r="J38" s="56" t="s">
        <v>568</v>
      </c>
      <c r="K38" s="56"/>
      <c r="L38" s="52" t="s">
        <v>284</v>
      </c>
    </row>
    <row r="39" customFormat="false" ht="30" hidden="false" customHeight="true" outlineLevel="0" collapsed="false">
      <c r="A39" s="38" t="s">
        <v>443</v>
      </c>
      <c r="B39" s="61" t="s">
        <v>564</v>
      </c>
      <c r="C39" s="61" t="s">
        <v>564</v>
      </c>
      <c r="D39" s="55" t="s">
        <v>565</v>
      </c>
      <c r="E39" s="55" t="s">
        <v>565</v>
      </c>
      <c r="F39" s="55" t="s">
        <v>566</v>
      </c>
      <c r="G39" s="55" t="s">
        <v>566</v>
      </c>
      <c r="H39" s="55" t="s">
        <v>567</v>
      </c>
      <c r="I39" s="55" t="s">
        <v>567</v>
      </c>
      <c r="J39" s="55" t="s">
        <v>568</v>
      </c>
      <c r="K39" s="55"/>
      <c r="L39" s="48" t="s">
        <v>284</v>
      </c>
    </row>
    <row r="40" customFormat="false" ht="30" hidden="false" customHeight="true" outlineLevel="0" collapsed="false">
      <c r="A40" s="49" t="s">
        <v>446</v>
      </c>
      <c r="B40" s="62" t="s">
        <v>564</v>
      </c>
      <c r="C40" s="62" t="s">
        <v>565</v>
      </c>
      <c r="D40" s="56" t="s">
        <v>565</v>
      </c>
      <c r="E40" s="56" t="s">
        <v>566</v>
      </c>
      <c r="F40" s="56" t="s">
        <v>566</v>
      </c>
      <c r="G40" s="56" t="s">
        <v>567</v>
      </c>
      <c r="H40" s="56" t="s">
        <v>567</v>
      </c>
      <c r="I40" s="56" t="s">
        <v>568</v>
      </c>
      <c r="J40" s="56"/>
      <c r="K40" s="56"/>
      <c r="L40" s="52" t="s">
        <v>284</v>
      </c>
    </row>
    <row r="41" customFormat="false" ht="30" hidden="false" customHeight="true" outlineLevel="0" collapsed="false">
      <c r="A41" s="38" t="s">
        <v>449</v>
      </c>
      <c r="B41" s="55" t="s">
        <v>564</v>
      </c>
      <c r="C41" s="55" t="s">
        <v>565</v>
      </c>
      <c r="D41" s="55" t="s">
        <v>565</v>
      </c>
      <c r="E41" s="55" t="s">
        <v>566</v>
      </c>
      <c r="F41" s="55" t="s">
        <v>566</v>
      </c>
      <c r="G41" s="55" t="s">
        <v>567</v>
      </c>
      <c r="H41" s="55" t="s">
        <v>567</v>
      </c>
      <c r="I41" s="55" t="s">
        <v>568</v>
      </c>
      <c r="J41" s="55" t="s">
        <v>568</v>
      </c>
      <c r="K41" s="55" t="s">
        <v>569</v>
      </c>
      <c r="L41" s="48" t="s">
        <v>284</v>
      </c>
    </row>
    <row r="42" customFormat="false" ht="30" hidden="false" customHeight="true" outlineLevel="0" collapsed="false">
      <c r="A42" s="49" t="s">
        <v>452</v>
      </c>
      <c r="B42" s="56" t="s">
        <v>564</v>
      </c>
      <c r="C42" s="56" t="s">
        <v>565</v>
      </c>
      <c r="D42" s="56" t="s">
        <v>566</v>
      </c>
      <c r="E42" s="56" t="s">
        <v>567</v>
      </c>
      <c r="F42" s="56" t="s">
        <v>568</v>
      </c>
      <c r="G42" s="56" t="s">
        <v>569</v>
      </c>
      <c r="H42" s="56"/>
      <c r="I42" s="56"/>
      <c r="J42" s="56"/>
      <c r="K42" s="56"/>
      <c r="L42" s="52" t="s">
        <v>284</v>
      </c>
    </row>
    <row r="43" customFormat="false" ht="30" hidden="false" customHeight="true" outlineLevel="0" collapsed="false">
      <c r="A43" s="38" t="s">
        <v>455</v>
      </c>
      <c r="B43" s="55" t="s">
        <v>564</v>
      </c>
      <c r="C43" s="55" t="s">
        <v>565</v>
      </c>
      <c r="D43" s="55" t="s">
        <v>566</v>
      </c>
      <c r="E43" s="55" t="s">
        <v>567</v>
      </c>
      <c r="F43" s="55" t="s">
        <v>568</v>
      </c>
      <c r="G43" s="55" t="s">
        <v>569</v>
      </c>
      <c r="H43" s="55"/>
      <c r="I43" s="55"/>
      <c r="J43" s="55"/>
      <c r="K43" s="55"/>
      <c r="L43" s="48" t="s">
        <v>284</v>
      </c>
    </row>
    <row r="44" customFormat="false" ht="30" hidden="false" customHeight="true" outlineLevel="0" collapsed="false">
      <c r="A44" s="49" t="s">
        <v>458</v>
      </c>
      <c r="B44" s="56" t="s">
        <v>564</v>
      </c>
      <c r="C44" s="56" t="s">
        <v>565</v>
      </c>
      <c r="D44" s="56" t="s">
        <v>566</v>
      </c>
      <c r="E44" s="56" t="s">
        <v>567</v>
      </c>
      <c r="F44" s="56" t="s">
        <v>568</v>
      </c>
      <c r="G44" s="56" t="s">
        <v>569</v>
      </c>
      <c r="H44" s="56" t="s">
        <v>569</v>
      </c>
      <c r="I44" s="56" t="s">
        <v>570</v>
      </c>
      <c r="J44" s="56"/>
      <c r="K44" s="56"/>
      <c r="L44" s="52" t="s">
        <v>284</v>
      </c>
    </row>
    <row r="45" customFormat="false" ht="30" hidden="false" customHeight="true" outlineLevel="0" collapsed="false">
      <c r="A45" s="38" t="s">
        <v>561</v>
      </c>
      <c r="B45" s="39" t="s">
        <v>571</v>
      </c>
      <c r="C45" s="39" t="s">
        <v>571</v>
      </c>
      <c r="D45" s="39" t="s">
        <v>572</v>
      </c>
      <c r="E45" s="39" t="s">
        <v>572</v>
      </c>
      <c r="F45" s="39" t="s">
        <v>573</v>
      </c>
      <c r="G45" s="39" t="s">
        <v>573</v>
      </c>
      <c r="H45" s="39" t="s">
        <v>574</v>
      </c>
      <c r="I45" s="55"/>
      <c r="J45" s="55"/>
      <c r="K45" s="55"/>
      <c r="L45" s="48" t="s">
        <v>290</v>
      </c>
    </row>
  </sheetData>
  <mergeCells count="7">
    <mergeCell ref="A1:L1"/>
    <mergeCell ref="A2:L2"/>
    <mergeCell ref="A3:L3"/>
    <mergeCell ref="A4:L4"/>
    <mergeCell ref="A5:L5"/>
    <mergeCell ref="A7:L7"/>
    <mergeCell ref="A27:L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5" min="2" style="1" width="20"/>
    <col collapsed="false" customWidth="true" hidden="false" outlineLevel="0" max="7" min="6" style="1" width="13"/>
    <col collapsed="false" customWidth="true" hidden="false" outlineLevel="0" max="8" min="8" style="1" width="17"/>
  </cols>
  <sheetData>
    <row r="1" customFormat="false" ht="21.75" hidden="false" customHeight="true" outlineLevel="0" collapsed="false">
      <c r="A1" s="41" t="s">
        <v>575</v>
      </c>
      <c r="B1" s="41"/>
      <c r="C1" s="41"/>
      <c r="D1" s="41"/>
      <c r="E1" s="41"/>
      <c r="F1" s="41"/>
      <c r="G1" s="41"/>
      <c r="H1" s="41"/>
    </row>
    <row r="2" customFormat="false" ht="25.5" hidden="false" customHeight="true" outlineLevel="0" collapsed="false">
      <c r="A2" s="42" t="s">
        <v>576</v>
      </c>
      <c r="B2" s="42"/>
      <c r="C2" s="42"/>
      <c r="D2" s="42"/>
      <c r="E2" s="42"/>
      <c r="F2" s="42"/>
      <c r="G2" s="42"/>
      <c r="H2" s="42"/>
    </row>
    <row r="3" customFormat="false" ht="25.5" hidden="false" customHeight="true" outlineLevel="0" collapsed="false">
      <c r="A3" s="42" t="s">
        <v>577</v>
      </c>
      <c r="B3" s="42"/>
      <c r="C3" s="42"/>
      <c r="D3" s="42"/>
      <c r="E3" s="42"/>
      <c r="F3" s="42"/>
      <c r="G3" s="42"/>
      <c r="H3" s="42"/>
    </row>
    <row r="4" customFormat="false" ht="25.5" hidden="false" customHeight="true" outlineLevel="0" collapsed="false">
      <c r="A4" s="42" t="s">
        <v>578</v>
      </c>
      <c r="B4" s="42"/>
      <c r="C4" s="42"/>
      <c r="D4" s="42"/>
      <c r="E4" s="42"/>
      <c r="F4" s="42"/>
      <c r="G4" s="42"/>
      <c r="H4" s="42"/>
    </row>
    <row r="5" customFormat="false" ht="25.5" hidden="false" customHeight="true" outlineLevel="0" collapsed="false">
      <c r="A5" s="42" t="s">
        <v>579</v>
      </c>
      <c r="B5" s="42"/>
      <c r="C5" s="42"/>
      <c r="D5" s="42"/>
      <c r="E5" s="42"/>
      <c r="F5" s="42"/>
      <c r="G5" s="42"/>
      <c r="H5" s="42"/>
    </row>
    <row r="7" customFormat="false" ht="15" hidden="false" customHeight="true" outlineLevel="0" collapsed="false">
      <c r="A7" s="35" t="s">
        <v>402</v>
      </c>
      <c r="B7" s="35"/>
      <c r="C7" s="35"/>
      <c r="D7" s="35"/>
      <c r="E7" s="35"/>
      <c r="F7" s="35"/>
      <c r="G7" s="35"/>
      <c r="H7" s="35"/>
    </row>
    <row r="8" customFormat="false" ht="30" hidden="false" customHeight="true" outlineLevel="0" collapsed="false">
      <c r="A8" s="36" t="s">
        <v>308</v>
      </c>
      <c r="B8" s="37" t="s">
        <v>309</v>
      </c>
      <c r="C8" s="37" t="s">
        <v>310</v>
      </c>
      <c r="D8" s="37" t="s">
        <v>311</v>
      </c>
      <c r="E8" s="37" t="s">
        <v>312</v>
      </c>
      <c r="F8" s="37" t="s">
        <v>313</v>
      </c>
      <c r="G8" s="37" t="s">
        <v>314</v>
      </c>
      <c r="H8" s="63" t="s">
        <v>315</v>
      </c>
    </row>
    <row r="9" customFormat="false" ht="15" hidden="false" customHeight="true" outlineLevel="0" collapsed="false">
      <c r="A9" s="38" t="s">
        <v>580</v>
      </c>
      <c r="B9" s="39" t="s">
        <v>317</v>
      </c>
      <c r="C9" s="39" t="s">
        <v>328</v>
      </c>
      <c r="D9" s="39" t="s">
        <v>340</v>
      </c>
      <c r="E9" s="64" t="s">
        <v>552</v>
      </c>
      <c r="F9" s="65" t="s">
        <v>554</v>
      </c>
      <c r="G9" s="66"/>
      <c r="H9" s="48" t="s">
        <v>175</v>
      </c>
    </row>
    <row r="10" customFormat="false" ht="15" hidden="false" customHeight="true" outlineLevel="0" collapsed="false">
      <c r="A10" s="49" t="s">
        <v>581</v>
      </c>
      <c r="B10" s="57" t="s">
        <v>321</v>
      </c>
      <c r="C10" s="57" t="s">
        <v>340</v>
      </c>
      <c r="D10" s="57" t="s">
        <v>331</v>
      </c>
      <c r="E10" s="57" t="s">
        <v>329</v>
      </c>
      <c r="F10" s="56"/>
      <c r="G10" s="56"/>
      <c r="H10" s="52" t="s">
        <v>175</v>
      </c>
    </row>
    <row r="11" customFormat="false" ht="15" hidden="false" customHeight="true" outlineLevel="0" collapsed="false">
      <c r="A11" s="38" t="s">
        <v>416</v>
      </c>
      <c r="B11" s="39" t="s">
        <v>548</v>
      </c>
      <c r="C11" s="39" t="s">
        <v>552</v>
      </c>
      <c r="D11" s="39" t="s">
        <v>555</v>
      </c>
      <c r="E11" s="39" t="s">
        <v>335</v>
      </c>
      <c r="F11" s="55"/>
      <c r="G11" s="55"/>
      <c r="H11" s="48" t="s">
        <v>175</v>
      </c>
    </row>
    <row r="12" customFormat="false" ht="15" hidden="false" customHeight="true" outlineLevel="0" collapsed="false">
      <c r="A12" s="49" t="s">
        <v>419</v>
      </c>
      <c r="B12" s="57" t="s">
        <v>318</v>
      </c>
      <c r="C12" s="57" t="s">
        <v>554</v>
      </c>
      <c r="D12" s="57" t="s">
        <v>558</v>
      </c>
      <c r="E12" s="57" t="s">
        <v>582</v>
      </c>
      <c r="F12" s="56"/>
      <c r="G12" s="56"/>
      <c r="H12" s="52" t="s">
        <v>175</v>
      </c>
    </row>
    <row r="13" customFormat="false" ht="15" hidden="false" customHeight="true" outlineLevel="0" collapsed="false">
      <c r="A13" s="38" t="s">
        <v>422</v>
      </c>
      <c r="B13" s="39" t="s">
        <v>322</v>
      </c>
      <c r="C13" s="39" t="s">
        <v>337</v>
      </c>
      <c r="D13" s="39" t="s">
        <v>338</v>
      </c>
      <c r="E13" s="39" t="s">
        <v>347</v>
      </c>
      <c r="F13" s="55"/>
      <c r="G13" s="55"/>
      <c r="H13" s="48" t="s">
        <v>175</v>
      </c>
    </row>
    <row r="14" customFormat="false" ht="15" hidden="false" customHeight="true" outlineLevel="0" collapsed="false">
      <c r="A14" s="49" t="s">
        <v>583</v>
      </c>
      <c r="B14" s="57" t="s">
        <v>550</v>
      </c>
      <c r="C14" s="57" t="s">
        <v>557</v>
      </c>
      <c r="D14" s="57" t="s">
        <v>584</v>
      </c>
      <c r="E14" s="57" t="s">
        <v>350</v>
      </c>
      <c r="F14" s="56"/>
      <c r="G14" s="56"/>
      <c r="H14" s="52" t="s">
        <v>175</v>
      </c>
    </row>
    <row r="15" customFormat="false" ht="15" hidden="false" customHeight="true" outlineLevel="0" collapsed="false">
      <c r="A15" s="38" t="s">
        <v>585</v>
      </c>
      <c r="B15" s="39" t="s">
        <v>551</v>
      </c>
      <c r="C15" s="39" t="s">
        <v>558</v>
      </c>
      <c r="D15" s="39" t="s">
        <v>347</v>
      </c>
      <c r="E15" s="39" t="s">
        <v>586</v>
      </c>
      <c r="F15" s="55"/>
      <c r="G15" s="55"/>
      <c r="H15" s="48" t="s">
        <v>175</v>
      </c>
    </row>
    <row r="16" customFormat="false" ht="15" hidden="false" customHeight="true" outlineLevel="0" collapsed="false">
      <c r="A16" s="49" t="s">
        <v>587</v>
      </c>
      <c r="B16" s="57" t="s">
        <v>552</v>
      </c>
      <c r="C16" s="57" t="s">
        <v>588</v>
      </c>
      <c r="D16" s="57" t="s">
        <v>589</v>
      </c>
      <c r="E16" s="57" t="s">
        <v>353</v>
      </c>
      <c r="F16" s="56"/>
      <c r="G16" s="56"/>
      <c r="H16" s="52" t="s">
        <v>175</v>
      </c>
    </row>
    <row r="17" customFormat="false" ht="15" hidden="false" customHeight="true" outlineLevel="0" collapsed="false">
      <c r="A17" s="38" t="s">
        <v>590</v>
      </c>
      <c r="B17" s="39" t="s">
        <v>556</v>
      </c>
      <c r="C17" s="39" t="s">
        <v>560</v>
      </c>
      <c r="D17" s="39" t="s">
        <v>350</v>
      </c>
      <c r="E17" s="39" t="s">
        <v>591</v>
      </c>
      <c r="F17" s="55"/>
      <c r="G17" s="55"/>
      <c r="H17" s="48" t="s">
        <v>175</v>
      </c>
    </row>
    <row r="18" customFormat="false" ht="15" hidden="false" customHeight="true" outlineLevel="0" collapsed="false">
      <c r="A18" s="49" t="s">
        <v>592</v>
      </c>
      <c r="B18" s="57" t="s">
        <v>554</v>
      </c>
      <c r="C18" s="57" t="s">
        <v>582</v>
      </c>
      <c r="D18" s="57" t="s">
        <v>586</v>
      </c>
      <c r="E18" s="57" t="s">
        <v>593</v>
      </c>
      <c r="F18" s="56"/>
      <c r="G18" s="56"/>
      <c r="H18" s="52" t="s">
        <v>175</v>
      </c>
    </row>
    <row r="19" customFormat="false" ht="15" hidden="false" customHeight="true" outlineLevel="0" collapsed="false">
      <c r="A19" s="38" t="s">
        <v>437</v>
      </c>
      <c r="B19" s="39" t="s">
        <v>319</v>
      </c>
      <c r="C19" s="55" t="s">
        <v>594</v>
      </c>
      <c r="D19" s="55" t="s">
        <v>352</v>
      </c>
      <c r="E19" s="39" t="s">
        <v>350</v>
      </c>
      <c r="F19" s="55"/>
      <c r="G19" s="55"/>
      <c r="H19" s="48" t="s">
        <v>183</v>
      </c>
    </row>
    <row r="20" customFormat="false" ht="15" hidden="false" customHeight="true" outlineLevel="0" collapsed="false">
      <c r="A20" s="49" t="s">
        <v>440</v>
      </c>
      <c r="B20" s="57" t="s">
        <v>551</v>
      </c>
      <c r="C20" s="56" t="s">
        <v>559</v>
      </c>
      <c r="D20" s="56" t="s">
        <v>347</v>
      </c>
      <c r="E20" s="57" t="s">
        <v>586</v>
      </c>
      <c r="F20" s="56"/>
      <c r="G20" s="56"/>
      <c r="H20" s="52" t="s">
        <v>183</v>
      </c>
    </row>
    <row r="21" customFormat="false" ht="15" hidden="false" customHeight="true" outlineLevel="0" collapsed="false">
      <c r="A21" s="38" t="s">
        <v>443</v>
      </c>
      <c r="B21" s="55" t="s">
        <v>552</v>
      </c>
      <c r="C21" s="55" t="s">
        <v>335</v>
      </c>
      <c r="D21" s="39" t="s">
        <v>589</v>
      </c>
      <c r="E21" s="39" t="s">
        <v>353</v>
      </c>
      <c r="F21" s="55"/>
      <c r="G21" s="55"/>
      <c r="H21" s="48" t="s">
        <v>183</v>
      </c>
    </row>
    <row r="22" customFormat="false" ht="15" hidden="false" customHeight="true" outlineLevel="0" collapsed="false">
      <c r="A22" s="49" t="s">
        <v>446</v>
      </c>
      <c r="B22" s="57" t="s">
        <v>323</v>
      </c>
      <c r="C22" s="57" t="s">
        <v>338</v>
      </c>
      <c r="D22" s="57" t="s">
        <v>589</v>
      </c>
      <c r="E22" s="57" t="s">
        <v>356</v>
      </c>
      <c r="F22" s="56"/>
      <c r="G22" s="56"/>
      <c r="H22" s="52" t="s">
        <v>183</v>
      </c>
    </row>
    <row r="23" customFormat="false" ht="15" hidden="false" customHeight="true" outlineLevel="0" collapsed="false">
      <c r="A23" s="38" t="s">
        <v>449</v>
      </c>
      <c r="B23" s="39" t="s">
        <v>331</v>
      </c>
      <c r="C23" s="55" t="s">
        <v>560</v>
      </c>
      <c r="D23" s="55" t="s">
        <v>350</v>
      </c>
      <c r="E23" s="39" t="s">
        <v>591</v>
      </c>
      <c r="F23" s="55"/>
      <c r="G23" s="55"/>
      <c r="H23" s="48" t="s">
        <v>183</v>
      </c>
    </row>
    <row r="24" customFormat="false" ht="15" hidden="false" customHeight="true" outlineLevel="0" collapsed="false">
      <c r="A24" s="49" t="s">
        <v>452</v>
      </c>
      <c r="B24" s="56" t="s">
        <v>554</v>
      </c>
      <c r="C24" s="56" t="s">
        <v>582</v>
      </c>
      <c r="D24" s="57" t="s">
        <v>586</v>
      </c>
      <c r="E24" s="57" t="s">
        <v>593</v>
      </c>
      <c r="F24" s="56"/>
      <c r="G24" s="56"/>
      <c r="H24" s="52" t="s">
        <v>183</v>
      </c>
    </row>
    <row r="25" customFormat="false" ht="15" hidden="false" customHeight="true" outlineLevel="0" collapsed="false">
      <c r="A25" s="38" t="s">
        <v>455</v>
      </c>
      <c r="B25" s="39" t="s">
        <v>553</v>
      </c>
      <c r="C25" s="55" t="s">
        <v>595</v>
      </c>
      <c r="D25" s="55" t="s">
        <v>353</v>
      </c>
      <c r="E25" s="39" t="s">
        <v>596</v>
      </c>
      <c r="F25" s="55"/>
      <c r="G25" s="55"/>
      <c r="H25" s="48" t="s">
        <v>183</v>
      </c>
    </row>
    <row r="26" customFormat="false" ht="15" hidden="false" customHeight="true" outlineLevel="0" collapsed="false">
      <c r="A26" s="49" t="s">
        <v>458</v>
      </c>
      <c r="B26" s="56" t="s">
        <v>326</v>
      </c>
      <c r="C26" s="57" t="s">
        <v>597</v>
      </c>
      <c r="D26" s="57" t="s">
        <v>356</v>
      </c>
      <c r="E26" s="57" t="s">
        <v>598</v>
      </c>
      <c r="F26" s="56"/>
      <c r="G26" s="56"/>
      <c r="H26" s="52" t="s">
        <v>183</v>
      </c>
    </row>
    <row r="27" customFormat="false" ht="15" hidden="false" customHeight="true" outlineLevel="0" collapsed="false">
      <c r="A27" s="38" t="s">
        <v>354</v>
      </c>
      <c r="B27" s="55" t="s">
        <v>347</v>
      </c>
      <c r="C27" s="55" t="s">
        <v>353</v>
      </c>
      <c r="D27" s="55" t="s">
        <v>562</v>
      </c>
      <c r="E27" s="55"/>
      <c r="F27" s="55"/>
      <c r="G27" s="55"/>
      <c r="H27" s="48" t="s">
        <v>184</v>
      </c>
    </row>
    <row r="29" customFormat="false" ht="15" hidden="false" customHeight="true" outlineLevel="0" collapsed="false">
      <c r="A29" s="58" t="s">
        <v>599</v>
      </c>
      <c r="B29" s="58"/>
      <c r="C29" s="58"/>
      <c r="D29" s="58"/>
      <c r="E29" s="58"/>
      <c r="F29" s="58"/>
      <c r="G29" s="58"/>
      <c r="H29" s="58"/>
    </row>
    <row r="30" customFormat="false" ht="30" hidden="false" customHeight="true" outlineLevel="0" collapsed="false">
      <c r="A30" s="36" t="s">
        <v>308</v>
      </c>
      <c r="B30" s="59" t="s">
        <v>309</v>
      </c>
      <c r="C30" s="59" t="s">
        <v>310</v>
      </c>
      <c r="D30" s="59" t="s">
        <v>311</v>
      </c>
      <c r="E30" s="59" t="s">
        <v>312</v>
      </c>
      <c r="F30" s="59" t="s">
        <v>313</v>
      </c>
      <c r="G30" s="59" t="s">
        <v>314</v>
      </c>
      <c r="H30" s="63" t="s">
        <v>315</v>
      </c>
    </row>
    <row r="31" customFormat="false" ht="15" hidden="false" customHeight="true" outlineLevel="0" collapsed="false">
      <c r="A31" s="38" t="s">
        <v>580</v>
      </c>
      <c r="B31" s="40" t="s">
        <v>359</v>
      </c>
      <c r="C31" s="40" t="s">
        <v>359</v>
      </c>
      <c r="D31" s="40" t="s">
        <v>359</v>
      </c>
      <c r="E31" s="40" t="s">
        <v>359</v>
      </c>
      <c r="F31" s="61"/>
      <c r="G31" s="61"/>
      <c r="H31" s="48" t="s">
        <v>175</v>
      </c>
    </row>
    <row r="32" customFormat="false" ht="15" hidden="false" customHeight="true" outlineLevel="0" collapsed="false">
      <c r="A32" s="49" t="s">
        <v>581</v>
      </c>
      <c r="B32" s="60" t="s">
        <v>359</v>
      </c>
      <c r="C32" s="60" t="s">
        <v>359</v>
      </c>
      <c r="D32" s="60" t="s">
        <v>359</v>
      </c>
      <c r="E32" s="60" t="s">
        <v>359</v>
      </c>
      <c r="F32" s="62"/>
      <c r="G32" s="62"/>
      <c r="H32" s="52" t="s">
        <v>175</v>
      </c>
    </row>
    <row r="33" customFormat="false" ht="15" hidden="false" customHeight="true" outlineLevel="0" collapsed="false">
      <c r="A33" s="38" t="s">
        <v>416</v>
      </c>
      <c r="B33" s="40" t="s">
        <v>359</v>
      </c>
      <c r="C33" s="40" t="s">
        <v>359</v>
      </c>
      <c r="D33" s="40" t="s">
        <v>359</v>
      </c>
      <c r="E33" s="40" t="s">
        <v>359</v>
      </c>
      <c r="F33" s="61"/>
      <c r="G33" s="61"/>
      <c r="H33" s="48" t="s">
        <v>175</v>
      </c>
    </row>
    <row r="34" customFormat="false" ht="15" hidden="false" customHeight="true" outlineLevel="0" collapsed="false">
      <c r="A34" s="49" t="s">
        <v>419</v>
      </c>
      <c r="B34" s="60" t="s">
        <v>359</v>
      </c>
      <c r="C34" s="60" t="s">
        <v>359</v>
      </c>
      <c r="D34" s="60" t="s">
        <v>359</v>
      </c>
      <c r="E34" s="60" t="s">
        <v>359</v>
      </c>
      <c r="F34" s="62"/>
      <c r="G34" s="62"/>
      <c r="H34" s="52" t="s">
        <v>175</v>
      </c>
    </row>
    <row r="35" customFormat="false" ht="15" hidden="false" customHeight="true" outlineLevel="0" collapsed="false">
      <c r="A35" s="38" t="s">
        <v>422</v>
      </c>
      <c r="B35" s="40" t="s">
        <v>600</v>
      </c>
      <c r="C35" s="40" t="s">
        <v>601</v>
      </c>
      <c r="D35" s="40" t="s">
        <v>602</v>
      </c>
      <c r="E35" s="40" t="s">
        <v>603</v>
      </c>
      <c r="F35" s="61"/>
      <c r="G35" s="61"/>
      <c r="H35" s="48" t="s">
        <v>175</v>
      </c>
    </row>
    <row r="36" customFormat="false" ht="15" hidden="false" customHeight="true" outlineLevel="0" collapsed="false">
      <c r="A36" s="49" t="s">
        <v>583</v>
      </c>
      <c r="B36" s="60" t="s">
        <v>600</v>
      </c>
      <c r="C36" s="60" t="s">
        <v>601</v>
      </c>
      <c r="D36" s="60" t="s">
        <v>602</v>
      </c>
      <c r="E36" s="60" t="s">
        <v>603</v>
      </c>
      <c r="F36" s="60" t="s">
        <v>604</v>
      </c>
      <c r="G36" s="60" t="s">
        <v>605</v>
      </c>
      <c r="H36" s="52" t="s">
        <v>175</v>
      </c>
    </row>
    <row r="37" customFormat="false" ht="15" hidden="false" customHeight="true" outlineLevel="0" collapsed="false">
      <c r="A37" s="38" t="s">
        <v>585</v>
      </c>
      <c r="B37" s="40" t="s">
        <v>600</v>
      </c>
      <c r="C37" s="40" t="s">
        <v>601</v>
      </c>
      <c r="D37" s="40" t="s">
        <v>602</v>
      </c>
      <c r="E37" s="39" t="s">
        <v>603</v>
      </c>
      <c r="F37" s="39" t="s">
        <v>604</v>
      </c>
      <c r="G37" s="39" t="s">
        <v>605</v>
      </c>
      <c r="H37" s="48" t="s">
        <v>175</v>
      </c>
    </row>
    <row r="38" customFormat="false" ht="15" hidden="false" customHeight="true" outlineLevel="0" collapsed="false">
      <c r="A38" s="49" t="s">
        <v>587</v>
      </c>
      <c r="B38" s="62" t="s">
        <v>600</v>
      </c>
      <c r="C38" s="62" t="s">
        <v>601</v>
      </c>
      <c r="D38" s="62" t="s">
        <v>602</v>
      </c>
      <c r="E38" s="56" t="s">
        <v>603</v>
      </c>
      <c r="F38" s="57" t="s">
        <v>604</v>
      </c>
      <c r="G38" s="57" t="s">
        <v>605</v>
      </c>
      <c r="H38" s="52" t="s">
        <v>175</v>
      </c>
    </row>
    <row r="39" customFormat="false" ht="15" hidden="false" customHeight="true" outlineLevel="0" collapsed="false">
      <c r="A39" s="38" t="s">
        <v>590</v>
      </c>
      <c r="B39" s="61" t="s">
        <v>600</v>
      </c>
      <c r="C39" s="40" t="s">
        <v>601</v>
      </c>
      <c r="D39" s="39" t="s">
        <v>603</v>
      </c>
      <c r="E39" s="40" t="s">
        <v>605</v>
      </c>
      <c r="F39" s="61"/>
      <c r="G39" s="61"/>
      <c r="H39" s="48" t="s">
        <v>175</v>
      </c>
    </row>
    <row r="40" customFormat="false" ht="15" hidden="false" customHeight="true" outlineLevel="0" collapsed="false">
      <c r="A40" s="49" t="s">
        <v>592</v>
      </c>
      <c r="B40" s="62" t="s">
        <v>600</v>
      </c>
      <c r="C40" s="60" t="s">
        <v>601</v>
      </c>
      <c r="D40" s="57" t="s">
        <v>603</v>
      </c>
      <c r="E40" s="60" t="s">
        <v>605</v>
      </c>
      <c r="F40" s="60" t="s">
        <v>606</v>
      </c>
      <c r="G40" s="62"/>
      <c r="H40" s="52" t="s">
        <v>175</v>
      </c>
    </row>
    <row r="41" customFormat="false" ht="15" hidden="false" customHeight="true" outlineLevel="0" collapsed="false">
      <c r="A41" s="38" t="s">
        <v>437</v>
      </c>
      <c r="B41" s="61" t="s">
        <v>600</v>
      </c>
      <c r="C41" s="61" t="s">
        <v>601</v>
      </c>
      <c r="D41" s="39" t="s">
        <v>603</v>
      </c>
      <c r="E41" s="39" t="s">
        <v>605</v>
      </c>
      <c r="F41" s="55"/>
      <c r="G41" s="55"/>
      <c r="H41" s="48" t="s">
        <v>183</v>
      </c>
    </row>
    <row r="42" customFormat="false" ht="15" hidden="false" customHeight="true" outlineLevel="0" collapsed="false">
      <c r="A42" s="49" t="s">
        <v>440</v>
      </c>
      <c r="B42" s="62" t="s">
        <v>600</v>
      </c>
      <c r="C42" s="60" t="s">
        <v>601</v>
      </c>
      <c r="D42" s="57" t="s">
        <v>603</v>
      </c>
      <c r="E42" s="57" t="s">
        <v>605</v>
      </c>
      <c r="F42" s="56"/>
      <c r="G42" s="56"/>
      <c r="H42" s="52" t="s">
        <v>183</v>
      </c>
    </row>
    <row r="43" customFormat="false" ht="15" hidden="false" customHeight="true" outlineLevel="0" collapsed="false">
      <c r="A43" s="38" t="s">
        <v>443</v>
      </c>
      <c r="B43" s="61" t="s">
        <v>600</v>
      </c>
      <c r="C43" s="40" t="s">
        <v>601</v>
      </c>
      <c r="D43" s="40" t="s">
        <v>603</v>
      </c>
      <c r="E43" s="39" t="s">
        <v>605</v>
      </c>
      <c r="F43" s="55"/>
      <c r="G43" s="55"/>
      <c r="H43" s="48" t="s">
        <v>183</v>
      </c>
    </row>
    <row r="44" customFormat="false" ht="15" hidden="false" customHeight="true" outlineLevel="0" collapsed="false">
      <c r="A44" s="49" t="s">
        <v>446</v>
      </c>
      <c r="B44" s="62" t="s">
        <v>600</v>
      </c>
      <c r="C44" s="60" t="s">
        <v>601</v>
      </c>
      <c r="D44" s="60" t="s">
        <v>603</v>
      </c>
      <c r="E44" s="57" t="s">
        <v>605</v>
      </c>
      <c r="F44" s="56"/>
      <c r="G44" s="56"/>
      <c r="H44" s="52" t="s">
        <v>183</v>
      </c>
    </row>
    <row r="45" customFormat="false" ht="30" hidden="false" customHeight="true" outlineLevel="0" collapsed="false">
      <c r="A45" s="38" t="s">
        <v>449</v>
      </c>
      <c r="B45" s="61" t="s">
        <v>600</v>
      </c>
      <c r="C45" s="39" t="s">
        <v>601</v>
      </c>
      <c r="D45" s="39" t="s">
        <v>603</v>
      </c>
      <c r="E45" s="39" t="s">
        <v>605</v>
      </c>
      <c r="F45" s="55"/>
      <c r="G45" s="55"/>
      <c r="H45" s="48" t="s">
        <v>183</v>
      </c>
    </row>
    <row r="46" customFormat="false" ht="30" hidden="false" customHeight="true" outlineLevel="0" collapsed="false">
      <c r="A46" s="49" t="s">
        <v>452</v>
      </c>
      <c r="B46" s="62" t="s">
        <v>600</v>
      </c>
      <c r="C46" s="57" t="s">
        <v>602</v>
      </c>
      <c r="D46" s="57" t="s">
        <v>604</v>
      </c>
      <c r="E46" s="57" t="s">
        <v>606</v>
      </c>
      <c r="F46" s="56"/>
      <c r="G46" s="56"/>
      <c r="H46" s="52" t="s">
        <v>183</v>
      </c>
    </row>
    <row r="47" customFormat="false" ht="30" hidden="false" customHeight="true" outlineLevel="0" collapsed="false">
      <c r="A47" s="38" t="s">
        <v>455</v>
      </c>
      <c r="B47" s="61" t="s">
        <v>607</v>
      </c>
      <c r="C47" s="39" t="s">
        <v>603</v>
      </c>
      <c r="D47" s="39" t="s">
        <v>605</v>
      </c>
      <c r="E47" s="39" t="s">
        <v>606</v>
      </c>
      <c r="F47" s="55"/>
      <c r="G47" s="55"/>
      <c r="H47" s="48" t="s">
        <v>183</v>
      </c>
    </row>
    <row r="48" customFormat="false" ht="30" hidden="false" customHeight="true" outlineLevel="0" collapsed="false">
      <c r="A48" s="49" t="s">
        <v>458</v>
      </c>
      <c r="B48" s="62" t="s">
        <v>607</v>
      </c>
      <c r="C48" s="56" t="s">
        <v>603</v>
      </c>
      <c r="D48" s="56" t="s">
        <v>605</v>
      </c>
      <c r="E48" s="57" t="s">
        <v>606</v>
      </c>
      <c r="F48" s="56"/>
      <c r="G48" s="56"/>
      <c r="H48" s="52" t="s">
        <v>183</v>
      </c>
    </row>
    <row r="49" customFormat="false" ht="30" hidden="false" customHeight="true" outlineLevel="0" collapsed="false">
      <c r="A49" s="38" t="s">
        <v>354</v>
      </c>
      <c r="B49" s="55" t="s">
        <v>603</v>
      </c>
      <c r="C49" s="55" t="s">
        <v>605</v>
      </c>
      <c r="D49" s="55" t="s">
        <v>606</v>
      </c>
      <c r="E49" s="55"/>
      <c r="F49" s="55"/>
      <c r="G49" s="55"/>
      <c r="H49" s="48" t="s">
        <v>184</v>
      </c>
    </row>
  </sheetData>
  <mergeCells count="7">
    <mergeCell ref="A1:H1"/>
    <mergeCell ref="A2:H2"/>
    <mergeCell ref="A3:H3"/>
    <mergeCell ref="A4:H4"/>
    <mergeCell ref="A5:H5"/>
    <mergeCell ref="A7:H7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9" min="2" style="1" width="13"/>
    <col collapsed="false" customWidth="true" hidden="false" outlineLevel="0" max="10" min="10" style="1" width="17"/>
  </cols>
  <sheetData>
    <row r="1" customFormat="false" ht="21.75" hidden="false" customHeight="true" outlineLevel="0" collapsed="false">
      <c r="A1" s="41" t="s">
        <v>608</v>
      </c>
      <c r="B1" s="41"/>
      <c r="C1" s="41"/>
      <c r="D1" s="41"/>
      <c r="E1" s="41"/>
      <c r="F1" s="41"/>
      <c r="G1" s="41"/>
      <c r="H1" s="41"/>
      <c r="I1" s="41"/>
      <c r="J1" s="41"/>
    </row>
    <row r="2" customFormat="false" ht="25.5" hidden="false" customHeight="true" outlineLevel="0" collapsed="false">
      <c r="A2" s="42" t="s">
        <v>609</v>
      </c>
      <c r="B2" s="42"/>
      <c r="C2" s="42"/>
      <c r="D2" s="42"/>
      <c r="E2" s="42"/>
      <c r="F2" s="42"/>
      <c r="G2" s="42"/>
      <c r="H2" s="42"/>
      <c r="I2" s="42"/>
      <c r="J2" s="42"/>
    </row>
    <row r="3" customFormat="false" ht="25.5" hidden="false" customHeight="true" outlineLevel="0" collapsed="false">
      <c r="A3" s="42" t="s">
        <v>610</v>
      </c>
      <c r="B3" s="42"/>
      <c r="C3" s="42"/>
      <c r="D3" s="42"/>
      <c r="E3" s="42"/>
      <c r="F3" s="42"/>
      <c r="G3" s="42"/>
      <c r="H3" s="42"/>
      <c r="I3" s="42"/>
      <c r="J3" s="42"/>
    </row>
    <row r="4" customFormat="false" ht="25.5" hidden="false" customHeight="true" outlineLevel="0" collapsed="false">
      <c r="A4" s="42" t="s">
        <v>611</v>
      </c>
      <c r="B4" s="42"/>
      <c r="C4" s="42"/>
      <c r="D4" s="42"/>
      <c r="E4" s="42"/>
      <c r="F4" s="42"/>
      <c r="G4" s="42"/>
      <c r="H4" s="42"/>
      <c r="I4" s="42"/>
      <c r="J4" s="42"/>
    </row>
    <row r="5" customFormat="false" ht="25.5" hidden="false" customHeight="true" outlineLevel="0" collapsed="false">
      <c r="A5" s="42" t="s">
        <v>612</v>
      </c>
      <c r="B5" s="42"/>
      <c r="C5" s="42"/>
      <c r="D5" s="42"/>
      <c r="E5" s="42"/>
      <c r="F5" s="42"/>
      <c r="G5" s="42"/>
      <c r="H5" s="42"/>
      <c r="I5" s="42"/>
      <c r="J5" s="42"/>
    </row>
    <row r="7" customFormat="false" ht="15" hidden="false" customHeight="true" outlineLevel="0" collapsed="false">
      <c r="A7" s="35" t="s">
        <v>613</v>
      </c>
      <c r="B7" s="35"/>
      <c r="C7" s="35"/>
      <c r="D7" s="35"/>
      <c r="E7" s="35"/>
      <c r="F7" s="35"/>
      <c r="G7" s="35"/>
      <c r="H7" s="35"/>
      <c r="I7" s="35"/>
      <c r="J7" s="35"/>
    </row>
    <row r="8" customFormat="false" ht="30" hidden="false" customHeight="true" outlineLevel="0" collapsed="false">
      <c r="A8" s="36" t="s">
        <v>308</v>
      </c>
      <c r="B8" s="37" t="s">
        <v>309</v>
      </c>
      <c r="C8" s="37" t="s">
        <v>310</v>
      </c>
      <c r="D8" s="37" t="s">
        <v>311</v>
      </c>
      <c r="E8" s="37" t="s">
        <v>312</v>
      </c>
      <c r="F8" s="37" t="s">
        <v>313</v>
      </c>
      <c r="G8" s="37" t="s">
        <v>314</v>
      </c>
      <c r="H8" s="37" t="s">
        <v>541</v>
      </c>
      <c r="I8" s="37" t="s">
        <v>542</v>
      </c>
      <c r="J8" s="63" t="s">
        <v>315</v>
      </c>
    </row>
    <row r="9" customFormat="false" ht="30" hidden="false" customHeight="true" outlineLevel="0" collapsed="false">
      <c r="A9" s="38" t="s">
        <v>614</v>
      </c>
      <c r="B9" s="55" t="s">
        <v>615</v>
      </c>
      <c r="C9" s="55" t="s">
        <v>328</v>
      </c>
      <c r="D9" s="55" t="s">
        <v>550</v>
      </c>
      <c r="E9" s="55" t="s">
        <v>556</v>
      </c>
      <c r="F9" s="55" t="s">
        <v>355</v>
      </c>
      <c r="G9" s="55" t="s">
        <v>557</v>
      </c>
      <c r="H9" s="55"/>
      <c r="I9" s="55"/>
      <c r="J9" s="48" t="s">
        <v>260</v>
      </c>
    </row>
    <row r="10" customFormat="false" ht="30" hidden="false" customHeight="true" outlineLevel="0" collapsed="false">
      <c r="A10" s="49" t="s">
        <v>271</v>
      </c>
      <c r="B10" s="56" t="s">
        <v>615</v>
      </c>
      <c r="C10" s="56" t="s">
        <v>328</v>
      </c>
      <c r="D10" s="56" t="s">
        <v>550</v>
      </c>
      <c r="E10" s="56" t="s">
        <v>556</v>
      </c>
      <c r="F10" s="56" t="s">
        <v>355</v>
      </c>
      <c r="G10" s="56" t="s">
        <v>557</v>
      </c>
      <c r="H10" s="56" t="s">
        <v>346</v>
      </c>
      <c r="I10" s="56" t="s">
        <v>616</v>
      </c>
      <c r="J10" s="52" t="s">
        <v>272</v>
      </c>
    </row>
    <row r="11" customFormat="false" ht="30" hidden="false" customHeight="true" outlineLevel="0" collapsed="false">
      <c r="A11" s="38" t="s">
        <v>274</v>
      </c>
      <c r="B11" s="55" t="s">
        <v>615</v>
      </c>
      <c r="C11" s="55" t="s">
        <v>328</v>
      </c>
      <c r="D11" s="55" t="s">
        <v>550</v>
      </c>
      <c r="E11" s="55" t="s">
        <v>556</v>
      </c>
      <c r="F11" s="55" t="s">
        <v>355</v>
      </c>
      <c r="G11" s="55" t="s">
        <v>557</v>
      </c>
      <c r="H11" s="55" t="s">
        <v>346</v>
      </c>
      <c r="I11" s="55" t="s">
        <v>616</v>
      </c>
      <c r="J11" s="48" t="s">
        <v>275</v>
      </c>
    </row>
    <row r="12" customFormat="false" ht="30" hidden="false" customHeight="true" outlineLevel="0" collapsed="false">
      <c r="A12" s="49" t="s">
        <v>617</v>
      </c>
      <c r="B12" s="56" t="s">
        <v>328</v>
      </c>
      <c r="C12" s="56" t="s">
        <v>556</v>
      </c>
      <c r="D12" s="56" t="s">
        <v>557</v>
      </c>
      <c r="E12" s="56" t="s">
        <v>616</v>
      </c>
      <c r="F12" s="56" t="s">
        <v>347</v>
      </c>
      <c r="G12" s="56"/>
      <c r="H12" s="56"/>
      <c r="I12" s="56"/>
      <c r="J12" s="52" t="s">
        <v>278</v>
      </c>
    </row>
    <row r="14" customFormat="false" ht="15" hidden="false" customHeight="true" outlineLevel="0" collapsed="false">
      <c r="A14" s="58" t="s">
        <v>618</v>
      </c>
      <c r="B14" s="58"/>
      <c r="C14" s="58"/>
      <c r="D14" s="58"/>
      <c r="E14" s="58"/>
      <c r="F14" s="58"/>
      <c r="G14" s="58"/>
      <c r="H14" s="58"/>
      <c r="I14" s="58"/>
      <c r="J14" s="58"/>
    </row>
    <row r="15" customFormat="false" ht="30" hidden="false" customHeight="true" outlineLevel="0" collapsed="false">
      <c r="A15" s="36" t="s">
        <v>308</v>
      </c>
      <c r="B15" s="59" t="s">
        <v>309</v>
      </c>
      <c r="C15" s="59" t="s">
        <v>310</v>
      </c>
      <c r="D15" s="59" t="s">
        <v>311</v>
      </c>
      <c r="E15" s="59" t="s">
        <v>312</v>
      </c>
      <c r="F15" s="59" t="s">
        <v>313</v>
      </c>
      <c r="G15" s="59" t="s">
        <v>314</v>
      </c>
      <c r="H15" s="59" t="s">
        <v>541</v>
      </c>
      <c r="I15" s="59" t="s">
        <v>542</v>
      </c>
      <c r="J15" s="63" t="s">
        <v>315</v>
      </c>
    </row>
    <row r="16" customFormat="false" ht="30" hidden="false" customHeight="true" outlineLevel="0" collapsed="false">
      <c r="A16" s="38" t="s">
        <v>614</v>
      </c>
      <c r="B16" s="55" t="s">
        <v>564</v>
      </c>
      <c r="C16" s="55" t="s">
        <v>565</v>
      </c>
      <c r="D16" s="55" t="s">
        <v>566</v>
      </c>
      <c r="E16" s="55" t="s">
        <v>567</v>
      </c>
      <c r="F16" s="55" t="s">
        <v>568</v>
      </c>
      <c r="G16" s="55" t="s">
        <v>569</v>
      </c>
      <c r="H16" s="55"/>
      <c r="I16" s="55"/>
      <c r="J16" s="48" t="s">
        <v>260</v>
      </c>
    </row>
    <row r="17" customFormat="false" ht="30" hidden="false" customHeight="true" outlineLevel="0" collapsed="false">
      <c r="A17" s="49" t="s">
        <v>271</v>
      </c>
      <c r="B17" s="56" t="s">
        <v>564</v>
      </c>
      <c r="C17" s="56" t="s">
        <v>565</v>
      </c>
      <c r="D17" s="56" t="s">
        <v>566</v>
      </c>
      <c r="E17" s="56" t="s">
        <v>567</v>
      </c>
      <c r="F17" s="56" t="s">
        <v>568</v>
      </c>
      <c r="G17" s="56" t="s">
        <v>569</v>
      </c>
      <c r="H17" s="56" t="s">
        <v>570</v>
      </c>
      <c r="I17" s="56"/>
      <c r="J17" s="52" t="s">
        <v>272</v>
      </c>
    </row>
    <row r="18" customFormat="false" ht="30" hidden="false" customHeight="true" outlineLevel="0" collapsed="false">
      <c r="A18" s="38" t="s">
        <v>274</v>
      </c>
      <c r="B18" s="55" t="s">
        <v>564</v>
      </c>
      <c r="C18" s="55" t="s">
        <v>565</v>
      </c>
      <c r="D18" s="55" t="s">
        <v>566</v>
      </c>
      <c r="E18" s="55" t="s">
        <v>567</v>
      </c>
      <c r="F18" s="55" t="s">
        <v>568</v>
      </c>
      <c r="G18" s="55" t="s">
        <v>569</v>
      </c>
      <c r="H18" s="55" t="s">
        <v>570</v>
      </c>
      <c r="I18" s="55"/>
      <c r="J18" s="48" t="s">
        <v>275</v>
      </c>
    </row>
    <row r="19" customFormat="false" ht="30" hidden="false" customHeight="true" outlineLevel="0" collapsed="false">
      <c r="A19" s="49" t="s">
        <v>617</v>
      </c>
      <c r="B19" s="56" t="s">
        <v>607</v>
      </c>
      <c r="C19" s="56" t="s">
        <v>603</v>
      </c>
      <c r="D19" s="56" t="s">
        <v>605</v>
      </c>
      <c r="E19" s="56" t="s">
        <v>606</v>
      </c>
      <c r="F19" s="56" t="s">
        <v>619</v>
      </c>
      <c r="G19" s="56"/>
      <c r="H19" s="56"/>
      <c r="I19" s="56"/>
      <c r="J19" s="52" t="s">
        <v>278</v>
      </c>
    </row>
  </sheetData>
  <mergeCells count="7">
    <mergeCell ref="A1:J1"/>
    <mergeCell ref="A2:J2"/>
    <mergeCell ref="A3:J3"/>
    <mergeCell ref="A4:J4"/>
    <mergeCell ref="A5:J5"/>
    <mergeCell ref="A7:J7"/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6" min="2" style="1" width="15"/>
    <col collapsed="false" customWidth="true" hidden="false" outlineLevel="0" max="7" min="7" style="1" width="17"/>
  </cols>
  <sheetData>
    <row r="1" customFormat="false" ht="21.75" hidden="false" customHeight="true" outlineLevel="0" collapsed="false">
      <c r="A1" s="41" t="s">
        <v>620</v>
      </c>
      <c r="B1" s="41"/>
      <c r="C1" s="41"/>
      <c r="D1" s="41"/>
      <c r="E1" s="41"/>
      <c r="F1" s="41"/>
      <c r="G1" s="41"/>
    </row>
    <row r="2" customFormat="false" ht="25.5" hidden="false" customHeight="true" outlineLevel="0" collapsed="false">
      <c r="A2" s="42" t="s">
        <v>621</v>
      </c>
      <c r="B2" s="42"/>
      <c r="C2" s="42"/>
      <c r="D2" s="42"/>
      <c r="E2" s="42"/>
      <c r="F2" s="42"/>
      <c r="G2" s="42"/>
    </row>
    <row r="3" customFormat="false" ht="25.5" hidden="false" customHeight="true" outlineLevel="0" collapsed="false">
      <c r="A3" s="42" t="s">
        <v>610</v>
      </c>
      <c r="B3" s="42"/>
      <c r="C3" s="42"/>
      <c r="D3" s="42"/>
      <c r="E3" s="42"/>
      <c r="F3" s="42"/>
      <c r="G3" s="42"/>
    </row>
    <row r="4" customFormat="false" ht="25.5" hidden="false" customHeight="true" outlineLevel="0" collapsed="false">
      <c r="A4" s="42" t="s">
        <v>622</v>
      </c>
      <c r="B4" s="42"/>
      <c r="C4" s="42"/>
      <c r="D4" s="42"/>
      <c r="E4" s="42"/>
      <c r="F4" s="42"/>
      <c r="G4" s="42"/>
    </row>
    <row r="5" customFormat="false" ht="25.5" hidden="false" customHeight="true" outlineLevel="0" collapsed="false">
      <c r="A5" s="42" t="s">
        <v>623</v>
      </c>
      <c r="B5" s="42"/>
      <c r="C5" s="42"/>
      <c r="D5" s="42"/>
      <c r="E5" s="42"/>
      <c r="F5" s="42"/>
      <c r="G5" s="42"/>
    </row>
    <row r="7" customFormat="false" ht="15" hidden="false" customHeight="true" outlineLevel="0" collapsed="false">
      <c r="A7" s="35" t="s">
        <v>624</v>
      </c>
      <c r="B7" s="35"/>
      <c r="C7" s="35"/>
      <c r="D7" s="35"/>
      <c r="E7" s="35"/>
      <c r="F7" s="35"/>
      <c r="G7" s="35"/>
    </row>
    <row r="8" customFormat="false" ht="30" hidden="false" customHeight="true" outlineLevel="0" collapsed="false">
      <c r="A8" s="36" t="s">
        <v>308</v>
      </c>
      <c r="B8" s="37" t="s">
        <v>309</v>
      </c>
      <c r="C8" s="37" t="s">
        <v>310</v>
      </c>
      <c r="D8" s="37" t="s">
        <v>311</v>
      </c>
      <c r="E8" s="37" t="s">
        <v>312</v>
      </c>
      <c r="F8" s="37" t="s">
        <v>313</v>
      </c>
      <c r="G8" s="63" t="s">
        <v>315</v>
      </c>
    </row>
    <row r="9" customFormat="false" ht="30" hidden="false" customHeight="true" outlineLevel="0" collapsed="false">
      <c r="A9" s="38" t="s">
        <v>316</v>
      </c>
      <c r="B9" s="55" t="s">
        <v>321</v>
      </c>
      <c r="C9" s="55" t="s">
        <v>322</v>
      </c>
      <c r="D9" s="55" t="s">
        <v>552</v>
      </c>
      <c r="E9" s="55" t="s">
        <v>553</v>
      </c>
      <c r="F9" s="55"/>
      <c r="G9" s="48" t="s">
        <v>625</v>
      </c>
    </row>
    <row r="10" customFormat="false" ht="30" hidden="false" customHeight="true" outlineLevel="0" collapsed="false">
      <c r="A10" s="49" t="s">
        <v>320</v>
      </c>
      <c r="B10" s="56" t="s">
        <v>548</v>
      </c>
      <c r="C10" s="56" t="s">
        <v>550</v>
      </c>
      <c r="D10" s="56" t="s">
        <v>331</v>
      </c>
      <c r="E10" s="56" t="s">
        <v>555</v>
      </c>
      <c r="F10" s="56"/>
      <c r="G10" s="52" t="s">
        <v>625</v>
      </c>
    </row>
    <row r="11" customFormat="false" ht="30" hidden="false" customHeight="true" outlineLevel="0" collapsed="false">
      <c r="A11" s="38" t="s">
        <v>324</v>
      </c>
      <c r="B11" s="55" t="s">
        <v>328</v>
      </c>
      <c r="C11" s="55" t="s">
        <v>551</v>
      </c>
      <c r="D11" s="55" t="s">
        <v>326</v>
      </c>
      <c r="E11" s="55" t="s">
        <v>594</v>
      </c>
      <c r="F11" s="55"/>
      <c r="G11" s="48" t="s">
        <v>625</v>
      </c>
    </row>
    <row r="12" customFormat="false" ht="30" hidden="false" customHeight="true" outlineLevel="0" collapsed="false">
      <c r="A12" s="49" t="s">
        <v>327</v>
      </c>
      <c r="B12" s="56" t="s">
        <v>334</v>
      </c>
      <c r="C12" s="56" t="s">
        <v>556</v>
      </c>
      <c r="D12" s="56" t="s">
        <v>329</v>
      </c>
      <c r="E12" s="56" t="s">
        <v>335</v>
      </c>
      <c r="F12" s="56"/>
      <c r="G12" s="52" t="s">
        <v>625</v>
      </c>
    </row>
    <row r="13" customFormat="false" ht="30" hidden="false" customHeight="true" outlineLevel="0" collapsed="false">
      <c r="A13" s="38" t="s">
        <v>626</v>
      </c>
      <c r="B13" s="55" t="s">
        <v>551</v>
      </c>
      <c r="C13" s="55" t="s">
        <v>355</v>
      </c>
      <c r="D13" s="55" t="s">
        <v>558</v>
      </c>
      <c r="E13" s="55" t="s">
        <v>560</v>
      </c>
      <c r="F13" s="55" t="s">
        <v>597</v>
      </c>
      <c r="G13" s="48" t="s">
        <v>230</v>
      </c>
    </row>
    <row r="14" customFormat="false" ht="15" hidden="false" customHeight="true" outlineLevel="0" collapsed="false">
      <c r="A14" s="49" t="s">
        <v>627</v>
      </c>
      <c r="B14" s="56" t="s">
        <v>355</v>
      </c>
      <c r="C14" s="56" t="s">
        <v>616</v>
      </c>
      <c r="D14" s="56" t="s">
        <v>347</v>
      </c>
      <c r="E14" s="56" t="s">
        <v>350</v>
      </c>
      <c r="F14" s="56" t="s">
        <v>353</v>
      </c>
      <c r="G14" s="52" t="s">
        <v>235</v>
      </c>
    </row>
    <row r="15" customFormat="false" ht="15" hidden="false" customHeight="true" outlineLevel="0" collapsed="false">
      <c r="A15" s="38" t="s">
        <v>628</v>
      </c>
      <c r="B15" s="55" t="s">
        <v>355</v>
      </c>
      <c r="C15" s="55" t="s">
        <v>616</v>
      </c>
      <c r="D15" s="55" t="s">
        <v>347</v>
      </c>
      <c r="E15" s="55" t="s">
        <v>350</v>
      </c>
      <c r="F15" s="55" t="s">
        <v>353</v>
      </c>
      <c r="G15" s="48" t="s">
        <v>241</v>
      </c>
    </row>
    <row r="16" customFormat="false" ht="15" hidden="false" customHeight="true" outlineLevel="0" collapsed="false">
      <c r="A16" s="49" t="s">
        <v>351</v>
      </c>
      <c r="B16" s="56" t="s">
        <v>355</v>
      </c>
      <c r="C16" s="56" t="s">
        <v>584</v>
      </c>
      <c r="D16" s="56" t="s">
        <v>350</v>
      </c>
      <c r="E16" s="56" t="s">
        <v>591</v>
      </c>
      <c r="F16" s="56" t="s">
        <v>562</v>
      </c>
      <c r="G16" s="52" t="s">
        <v>245</v>
      </c>
    </row>
    <row r="17" customFormat="false" ht="15" hidden="false" customHeight="true" outlineLevel="0" collapsed="false">
      <c r="A17" s="38" t="s">
        <v>629</v>
      </c>
      <c r="B17" s="55" t="s">
        <v>355</v>
      </c>
      <c r="C17" s="55" t="s">
        <v>347</v>
      </c>
      <c r="D17" s="55" t="s">
        <v>353</v>
      </c>
      <c r="E17" s="55" t="s">
        <v>562</v>
      </c>
      <c r="F17" s="55"/>
      <c r="G17" s="48" t="s">
        <v>249</v>
      </c>
    </row>
    <row r="18" customFormat="false" ht="15" hidden="false" customHeight="true" outlineLevel="0" collapsed="false">
      <c r="A18" s="49" t="s">
        <v>253</v>
      </c>
      <c r="B18" s="56" t="s">
        <v>355</v>
      </c>
      <c r="C18" s="56" t="s">
        <v>347</v>
      </c>
      <c r="D18" s="56" t="s">
        <v>353</v>
      </c>
      <c r="E18" s="56" t="s">
        <v>562</v>
      </c>
      <c r="F18" s="56"/>
      <c r="G18" s="52" t="s">
        <v>254</v>
      </c>
    </row>
    <row r="20" customFormat="false" ht="15" hidden="false" customHeight="true" outlineLevel="0" collapsed="false">
      <c r="A20" s="58" t="s">
        <v>630</v>
      </c>
      <c r="B20" s="58"/>
      <c r="C20" s="58"/>
      <c r="D20" s="58"/>
      <c r="E20" s="58"/>
      <c r="F20" s="58"/>
      <c r="G20" s="58"/>
    </row>
    <row r="21" customFormat="false" ht="30" hidden="false" customHeight="true" outlineLevel="0" collapsed="false">
      <c r="A21" s="36" t="s">
        <v>308</v>
      </c>
      <c r="B21" s="59" t="s">
        <v>309</v>
      </c>
      <c r="C21" s="59" t="s">
        <v>310</v>
      </c>
      <c r="D21" s="59" t="s">
        <v>311</v>
      </c>
      <c r="E21" s="59" t="s">
        <v>312</v>
      </c>
      <c r="F21" s="59" t="s">
        <v>313</v>
      </c>
      <c r="G21" s="63" t="s">
        <v>315</v>
      </c>
    </row>
    <row r="22" customFormat="false" ht="30" hidden="false" customHeight="true" outlineLevel="0" collapsed="false">
      <c r="A22" s="38" t="s">
        <v>316</v>
      </c>
      <c r="B22" s="61" t="s">
        <v>631</v>
      </c>
      <c r="C22" s="61" t="s">
        <v>632</v>
      </c>
      <c r="D22" s="61" t="s">
        <v>633</v>
      </c>
      <c r="E22" s="55" t="s">
        <v>634</v>
      </c>
      <c r="F22" s="55"/>
      <c r="G22" s="48" t="s">
        <v>625</v>
      </c>
    </row>
    <row r="23" customFormat="false" ht="15" hidden="false" customHeight="true" outlineLevel="0" collapsed="false">
      <c r="A23" s="49" t="s">
        <v>320</v>
      </c>
      <c r="B23" s="62" t="s">
        <v>631</v>
      </c>
      <c r="C23" s="62" t="s">
        <v>632</v>
      </c>
      <c r="D23" s="62" t="s">
        <v>633</v>
      </c>
      <c r="E23" s="62" t="s">
        <v>634</v>
      </c>
      <c r="F23" s="56"/>
      <c r="G23" s="52" t="s">
        <v>625</v>
      </c>
    </row>
    <row r="24" customFormat="false" ht="30" hidden="false" customHeight="true" outlineLevel="0" collapsed="false">
      <c r="A24" s="38" t="s">
        <v>324</v>
      </c>
      <c r="B24" s="61" t="s">
        <v>631</v>
      </c>
      <c r="C24" s="61" t="s">
        <v>632</v>
      </c>
      <c r="D24" s="55" t="s">
        <v>634</v>
      </c>
      <c r="E24" s="55" t="s">
        <v>635</v>
      </c>
      <c r="F24" s="55"/>
      <c r="G24" s="48" t="s">
        <v>625</v>
      </c>
    </row>
    <row r="25" customFormat="false" ht="30" hidden="false" customHeight="true" outlineLevel="0" collapsed="false">
      <c r="A25" s="49" t="s">
        <v>327</v>
      </c>
      <c r="B25" s="62" t="s">
        <v>636</v>
      </c>
      <c r="C25" s="62" t="s">
        <v>634</v>
      </c>
      <c r="D25" s="62" t="s">
        <v>634</v>
      </c>
      <c r="E25" s="56" t="s">
        <v>635</v>
      </c>
      <c r="F25" s="56"/>
      <c r="G25" s="52" t="s">
        <v>625</v>
      </c>
    </row>
    <row r="26" customFormat="false" ht="30" hidden="false" customHeight="true" outlineLevel="0" collapsed="false">
      <c r="A26" s="38" t="s">
        <v>626</v>
      </c>
      <c r="B26" s="55" t="s">
        <v>636</v>
      </c>
      <c r="C26" s="55" t="s">
        <v>633</v>
      </c>
      <c r="D26" s="55" t="s">
        <v>634</v>
      </c>
      <c r="E26" s="55" t="s">
        <v>635</v>
      </c>
      <c r="F26" s="55" t="s">
        <v>637</v>
      </c>
      <c r="G26" s="48" t="s">
        <v>230</v>
      </c>
    </row>
    <row r="27" customFormat="false" ht="30" hidden="false" customHeight="true" outlineLevel="0" collapsed="false">
      <c r="A27" s="49" t="s">
        <v>627</v>
      </c>
      <c r="B27" s="56" t="s">
        <v>634</v>
      </c>
      <c r="C27" s="56" t="s">
        <v>635</v>
      </c>
      <c r="D27" s="56" t="s">
        <v>637</v>
      </c>
      <c r="E27" s="56" t="s">
        <v>638</v>
      </c>
      <c r="F27" s="56" t="s">
        <v>639</v>
      </c>
      <c r="G27" s="52" t="s">
        <v>235</v>
      </c>
    </row>
    <row r="28" customFormat="false" ht="30" hidden="false" customHeight="true" outlineLevel="0" collapsed="false">
      <c r="A28" s="38" t="s">
        <v>628</v>
      </c>
      <c r="B28" s="55" t="s">
        <v>634</v>
      </c>
      <c r="C28" s="55" t="s">
        <v>635</v>
      </c>
      <c r="D28" s="55" t="s">
        <v>637</v>
      </c>
      <c r="E28" s="55" t="s">
        <v>638</v>
      </c>
      <c r="F28" s="55" t="s">
        <v>639</v>
      </c>
      <c r="G28" s="48" t="s">
        <v>241</v>
      </c>
    </row>
    <row r="29" customFormat="false" ht="30" hidden="false" customHeight="true" outlineLevel="0" collapsed="false">
      <c r="A29" s="49" t="s">
        <v>351</v>
      </c>
      <c r="B29" s="56" t="s">
        <v>640</v>
      </c>
      <c r="C29" s="56" t="s">
        <v>641</v>
      </c>
      <c r="D29" s="56" t="s">
        <v>642</v>
      </c>
      <c r="E29" s="56" t="s">
        <v>643</v>
      </c>
      <c r="F29" s="56" t="s">
        <v>643</v>
      </c>
      <c r="G29" s="52" t="s">
        <v>245</v>
      </c>
    </row>
    <row r="30" customFormat="false" ht="30" hidden="false" customHeight="true" outlineLevel="0" collapsed="false">
      <c r="A30" s="38" t="s">
        <v>629</v>
      </c>
      <c r="B30" s="55" t="s">
        <v>640</v>
      </c>
      <c r="C30" s="55" t="s">
        <v>641</v>
      </c>
      <c r="D30" s="55" t="s">
        <v>642</v>
      </c>
      <c r="E30" s="55" t="s">
        <v>643</v>
      </c>
      <c r="F30" s="55"/>
      <c r="G30" s="48" t="s">
        <v>249</v>
      </c>
    </row>
    <row r="31" customFormat="false" ht="30" hidden="false" customHeight="true" outlineLevel="0" collapsed="false">
      <c r="A31" s="49" t="s">
        <v>253</v>
      </c>
      <c r="B31" s="56" t="s">
        <v>640</v>
      </c>
      <c r="C31" s="56" t="s">
        <v>641</v>
      </c>
      <c r="D31" s="56" t="s">
        <v>642</v>
      </c>
      <c r="E31" s="56" t="s">
        <v>643</v>
      </c>
      <c r="F31" s="56"/>
      <c r="G31" s="52" t="s">
        <v>254</v>
      </c>
    </row>
  </sheetData>
  <mergeCells count="7">
    <mergeCell ref="A1:G1"/>
    <mergeCell ref="A2:G2"/>
    <mergeCell ref="A3:G3"/>
    <mergeCell ref="A4:G4"/>
    <mergeCell ref="A5:G5"/>
    <mergeCell ref="A7:G7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7" min="2" style="1" width="14"/>
    <col collapsed="false" customWidth="true" hidden="false" outlineLevel="0" max="19" min="8" style="1" width="13"/>
  </cols>
  <sheetData>
    <row r="1" customFormat="false" ht="21.75" hidden="false" customHeight="true" outlineLevel="0" collapsed="false">
      <c r="A1" s="41" t="s">
        <v>644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customFormat="false" ht="25.5" hidden="false" customHeight="true" outlineLevel="0" collapsed="false">
      <c r="A2" s="42" t="s">
        <v>645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customFormat="false" ht="25.5" hidden="false" customHeight="true" outlineLevel="0" collapsed="false">
      <c r="A3" s="42" t="s">
        <v>646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customFormat="false" ht="25.5" hidden="false" customHeight="true" outlineLevel="0" collapsed="false">
      <c r="A4" s="42" t="s">
        <v>647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</row>
    <row r="5" customFormat="false" ht="25.5" hidden="false" customHeight="true" outlineLevel="0" collapsed="false">
      <c r="A5" s="42" t="s">
        <v>648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</row>
    <row r="7" customFormat="false" ht="15" hidden="false" customHeight="true" outlineLevel="0" collapsed="false">
      <c r="A7" s="35" t="s">
        <v>649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</row>
    <row r="8" customFormat="false" ht="30" hidden="false" customHeight="true" outlineLevel="0" collapsed="false">
      <c r="A8" s="36" t="s">
        <v>308</v>
      </c>
      <c r="B8" s="37" t="s">
        <v>309</v>
      </c>
      <c r="C8" s="37" t="s">
        <v>310</v>
      </c>
      <c r="D8" s="37" t="s">
        <v>311</v>
      </c>
      <c r="E8" s="37" t="s">
        <v>312</v>
      </c>
      <c r="F8" s="37" t="s">
        <v>313</v>
      </c>
      <c r="G8" s="37" t="s">
        <v>314</v>
      </c>
      <c r="H8" s="37" t="s">
        <v>541</v>
      </c>
      <c r="I8" s="37" t="s">
        <v>542</v>
      </c>
      <c r="J8" s="37" t="s">
        <v>543</v>
      </c>
      <c r="K8" s="37" t="s">
        <v>544</v>
      </c>
      <c r="L8" s="37" t="s">
        <v>650</v>
      </c>
      <c r="M8" s="37" t="s">
        <v>651</v>
      </c>
      <c r="N8" s="37" t="s">
        <v>652</v>
      </c>
      <c r="O8" s="37" t="s">
        <v>653</v>
      </c>
      <c r="P8" s="63" t="s">
        <v>315</v>
      </c>
    </row>
    <row r="9" customFormat="false" ht="30" hidden="false" customHeight="true" outlineLevel="0" collapsed="false">
      <c r="A9" s="38" t="s">
        <v>316</v>
      </c>
      <c r="B9" s="55" t="s">
        <v>654</v>
      </c>
      <c r="C9" s="55" t="s">
        <v>654</v>
      </c>
      <c r="D9" s="55" t="s">
        <v>545</v>
      </c>
      <c r="E9" s="55" t="s">
        <v>545</v>
      </c>
      <c r="F9" s="55" t="s">
        <v>317</v>
      </c>
      <c r="G9" s="55" t="s">
        <v>548</v>
      </c>
      <c r="H9" s="55" t="s">
        <v>334</v>
      </c>
      <c r="I9" s="55" t="s">
        <v>550</v>
      </c>
      <c r="J9" s="55" t="s">
        <v>552</v>
      </c>
      <c r="K9" s="55" t="s">
        <v>331</v>
      </c>
      <c r="L9" s="55" t="s">
        <v>326</v>
      </c>
      <c r="M9" s="55"/>
      <c r="N9" s="55"/>
      <c r="O9" s="55"/>
      <c r="P9" s="48" t="s">
        <v>191</v>
      </c>
    </row>
    <row r="10" customFormat="false" ht="30" hidden="false" customHeight="true" outlineLevel="0" collapsed="false">
      <c r="A10" s="49" t="s">
        <v>320</v>
      </c>
      <c r="B10" s="56" t="s">
        <v>655</v>
      </c>
      <c r="C10" s="56" t="s">
        <v>655</v>
      </c>
      <c r="D10" s="56" t="s">
        <v>546</v>
      </c>
      <c r="E10" s="56" t="s">
        <v>546</v>
      </c>
      <c r="F10" s="56" t="s">
        <v>325</v>
      </c>
      <c r="G10" s="56" t="s">
        <v>334</v>
      </c>
      <c r="H10" s="56" t="s">
        <v>319</v>
      </c>
      <c r="I10" s="56" t="s">
        <v>556</v>
      </c>
      <c r="J10" s="56" t="s">
        <v>326</v>
      </c>
      <c r="K10" s="56" t="s">
        <v>329</v>
      </c>
      <c r="L10" s="56"/>
      <c r="M10" s="56"/>
      <c r="N10" s="56"/>
      <c r="O10" s="56"/>
      <c r="P10" s="52" t="s">
        <v>191</v>
      </c>
    </row>
    <row r="11" customFormat="false" ht="30" hidden="false" customHeight="true" outlineLevel="0" collapsed="false">
      <c r="A11" s="38" t="s">
        <v>324</v>
      </c>
      <c r="B11" s="55" t="s">
        <v>655</v>
      </c>
      <c r="C11" s="55" t="s">
        <v>655</v>
      </c>
      <c r="D11" s="55" t="s">
        <v>546</v>
      </c>
      <c r="E11" s="55" t="s">
        <v>546</v>
      </c>
      <c r="F11" s="55" t="s">
        <v>325</v>
      </c>
      <c r="G11" s="55" t="s">
        <v>334</v>
      </c>
      <c r="H11" s="55" t="s">
        <v>319</v>
      </c>
      <c r="I11" s="55" t="s">
        <v>556</v>
      </c>
      <c r="J11" s="55" t="s">
        <v>326</v>
      </c>
      <c r="K11" s="55" t="s">
        <v>329</v>
      </c>
      <c r="L11" s="55" t="s">
        <v>332</v>
      </c>
      <c r="M11" s="55" t="s">
        <v>335</v>
      </c>
      <c r="N11" s="55"/>
      <c r="O11" s="55"/>
      <c r="P11" s="48" t="s">
        <v>191</v>
      </c>
    </row>
    <row r="12" customFormat="false" ht="30" hidden="false" customHeight="true" outlineLevel="0" collapsed="false">
      <c r="A12" s="49" t="s">
        <v>327</v>
      </c>
      <c r="B12" s="56" t="s">
        <v>656</v>
      </c>
      <c r="C12" s="56" t="s">
        <v>656</v>
      </c>
      <c r="D12" s="56" t="s">
        <v>547</v>
      </c>
      <c r="E12" s="56" t="s">
        <v>547</v>
      </c>
      <c r="F12" s="56" t="s">
        <v>328</v>
      </c>
      <c r="G12" s="56" t="s">
        <v>550</v>
      </c>
      <c r="H12" s="56" t="s">
        <v>556</v>
      </c>
      <c r="I12" s="56" t="s">
        <v>355</v>
      </c>
      <c r="J12" s="56" t="s">
        <v>557</v>
      </c>
      <c r="K12" s="56" t="s">
        <v>346</v>
      </c>
      <c r="L12" s="56" t="s">
        <v>616</v>
      </c>
      <c r="M12" s="56"/>
      <c r="N12" s="56"/>
      <c r="O12" s="56"/>
      <c r="P12" s="52" t="s">
        <v>191</v>
      </c>
    </row>
    <row r="13" customFormat="false" ht="30" hidden="false" customHeight="true" outlineLevel="0" collapsed="false">
      <c r="A13" s="38" t="s">
        <v>330</v>
      </c>
      <c r="B13" s="55" t="s">
        <v>657</v>
      </c>
      <c r="C13" s="55" t="s">
        <v>657</v>
      </c>
      <c r="D13" s="55" t="s">
        <v>317</v>
      </c>
      <c r="E13" s="55" t="s">
        <v>317</v>
      </c>
      <c r="F13" s="55" t="s">
        <v>334</v>
      </c>
      <c r="G13" s="55" t="s">
        <v>552</v>
      </c>
      <c r="H13" s="55" t="s">
        <v>326</v>
      </c>
      <c r="I13" s="55" t="s">
        <v>557</v>
      </c>
      <c r="J13" s="55" t="s">
        <v>335</v>
      </c>
      <c r="K13" s="55" t="s">
        <v>349</v>
      </c>
      <c r="L13" s="55" t="s">
        <v>344</v>
      </c>
      <c r="M13" s="55"/>
      <c r="N13" s="55"/>
      <c r="O13" s="55"/>
      <c r="P13" s="48" t="s">
        <v>191</v>
      </c>
    </row>
    <row r="14" customFormat="false" ht="30" hidden="false" customHeight="true" outlineLevel="0" collapsed="false">
      <c r="A14" s="49" t="s">
        <v>333</v>
      </c>
      <c r="B14" s="56" t="s">
        <v>658</v>
      </c>
      <c r="C14" s="56" t="s">
        <v>658</v>
      </c>
      <c r="D14" s="56" t="s">
        <v>321</v>
      </c>
      <c r="E14" s="56" t="s">
        <v>321</v>
      </c>
      <c r="F14" s="56" t="s">
        <v>340</v>
      </c>
      <c r="G14" s="56" t="s">
        <v>331</v>
      </c>
      <c r="H14" s="56" t="s">
        <v>329</v>
      </c>
      <c r="I14" s="56" t="s">
        <v>346</v>
      </c>
      <c r="J14" s="56" t="s">
        <v>349</v>
      </c>
      <c r="K14" s="56" t="s">
        <v>597</v>
      </c>
      <c r="L14" s="56"/>
      <c r="M14" s="56"/>
      <c r="N14" s="56"/>
      <c r="O14" s="56"/>
      <c r="P14" s="52" t="s">
        <v>191</v>
      </c>
    </row>
    <row r="15" customFormat="false" ht="30" hidden="false" customHeight="true" outlineLevel="0" collapsed="false">
      <c r="A15" s="38" t="s">
        <v>336</v>
      </c>
      <c r="B15" s="55" t="s">
        <v>658</v>
      </c>
      <c r="C15" s="55" t="s">
        <v>658</v>
      </c>
      <c r="D15" s="55" t="s">
        <v>321</v>
      </c>
      <c r="E15" s="55" t="s">
        <v>321</v>
      </c>
      <c r="F15" s="55" t="s">
        <v>550</v>
      </c>
      <c r="G15" s="55" t="s">
        <v>553</v>
      </c>
      <c r="H15" s="55" t="s">
        <v>594</v>
      </c>
      <c r="I15" s="55" t="s">
        <v>338</v>
      </c>
      <c r="J15" s="55" t="s">
        <v>352</v>
      </c>
      <c r="K15" s="55" t="s">
        <v>589</v>
      </c>
      <c r="L15" s="55"/>
      <c r="M15" s="55"/>
      <c r="N15" s="55"/>
      <c r="O15" s="55"/>
      <c r="P15" s="48" t="s">
        <v>191</v>
      </c>
    </row>
    <row r="16" customFormat="false" ht="30" hidden="false" customHeight="true" outlineLevel="0" collapsed="false">
      <c r="A16" s="49" t="s">
        <v>339</v>
      </c>
      <c r="B16" s="56" t="s">
        <v>659</v>
      </c>
      <c r="C16" s="56" t="s">
        <v>659</v>
      </c>
      <c r="D16" s="56" t="s">
        <v>325</v>
      </c>
      <c r="E16" s="56" t="s">
        <v>325</v>
      </c>
      <c r="F16" s="56" t="s">
        <v>550</v>
      </c>
      <c r="G16" s="56" t="s">
        <v>553</v>
      </c>
      <c r="H16" s="56" t="s">
        <v>594</v>
      </c>
      <c r="I16" s="56" t="s">
        <v>338</v>
      </c>
      <c r="J16" s="56" t="s">
        <v>352</v>
      </c>
      <c r="K16" s="56" t="s">
        <v>589</v>
      </c>
      <c r="L16" s="56" t="s">
        <v>350</v>
      </c>
      <c r="M16" s="56"/>
      <c r="N16" s="56"/>
      <c r="O16" s="56"/>
      <c r="P16" s="52" t="s">
        <v>191</v>
      </c>
    </row>
    <row r="17" customFormat="false" ht="30" hidden="false" customHeight="true" outlineLevel="0" collapsed="false">
      <c r="A17" s="38" t="s">
        <v>437</v>
      </c>
      <c r="B17" s="55" t="s">
        <v>660</v>
      </c>
      <c r="C17" s="55" t="s">
        <v>660</v>
      </c>
      <c r="D17" s="55" t="s">
        <v>548</v>
      </c>
      <c r="E17" s="55" t="s">
        <v>548</v>
      </c>
      <c r="F17" s="55" t="s">
        <v>319</v>
      </c>
      <c r="G17" s="55" t="s">
        <v>553</v>
      </c>
      <c r="H17" s="55" t="s">
        <v>594</v>
      </c>
      <c r="I17" s="55" t="s">
        <v>338</v>
      </c>
      <c r="J17" s="55" t="s">
        <v>352</v>
      </c>
      <c r="K17" s="55" t="s">
        <v>589</v>
      </c>
      <c r="L17" s="55" t="s">
        <v>350</v>
      </c>
      <c r="M17" s="55" t="s">
        <v>586</v>
      </c>
      <c r="N17" s="55"/>
      <c r="O17" s="55"/>
      <c r="P17" s="48" t="s">
        <v>191</v>
      </c>
    </row>
    <row r="18" customFormat="false" ht="30" hidden="false" customHeight="true" outlineLevel="0" collapsed="false">
      <c r="A18" s="49" t="s">
        <v>440</v>
      </c>
      <c r="B18" s="56" t="s">
        <v>615</v>
      </c>
      <c r="C18" s="56" t="s">
        <v>615</v>
      </c>
      <c r="D18" s="56" t="s">
        <v>328</v>
      </c>
      <c r="E18" s="56" t="s">
        <v>328</v>
      </c>
      <c r="F18" s="56" t="s">
        <v>556</v>
      </c>
      <c r="G18" s="56" t="s">
        <v>557</v>
      </c>
      <c r="H18" s="56" t="s">
        <v>616</v>
      </c>
      <c r="I18" s="56" t="s">
        <v>347</v>
      </c>
      <c r="J18" s="56" t="s">
        <v>350</v>
      </c>
      <c r="K18" s="56" t="s">
        <v>353</v>
      </c>
      <c r="L18" s="56"/>
      <c r="M18" s="56"/>
      <c r="N18" s="56"/>
      <c r="O18" s="56"/>
      <c r="P18" s="52" t="s">
        <v>191</v>
      </c>
    </row>
    <row r="19" customFormat="false" ht="30" hidden="false" customHeight="true" outlineLevel="0" collapsed="false">
      <c r="A19" s="38" t="s">
        <v>443</v>
      </c>
      <c r="B19" s="55" t="s">
        <v>615</v>
      </c>
      <c r="C19" s="55" t="s">
        <v>615</v>
      </c>
      <c r="D19" s="55" t="s">
        <v>328</v>
      </c>
      <c r="E19" s="55" t="s">
        <v>328</v>
      </c>
      <c r="F19" s="55" t="s">
        <v>556</v>
      </c>
      <c r="G19" s="55" t="s">
        <v>557</v>
      </c>
      <c r="H19" s="55" t="s">
        <v>616</v>
      </c>
      <c r="I19" s="55" t="s">
        <v>347</v>
      </c>
      <c r="J19" s="55" t="s">
        <v>350</v>
      </c>
      <c r="K19" s="55" t="s">
        <v>353</v>
      </c>
      <c r="L19" s="55" t="s">
        <v>591</v>
      </c>
      <c r="M19" s="55"/>
      <c r="N19" s="55"/>
      <c r="O19" s="55"/>
      <c r="P19" s="48" t="s">
        <v>191</v>
      </c>
    </row>
    <row r="20" customFormat="false" ht="30" hidden="false" customHeight="true" outlineLevel="0" collapsed="false">
      <c r="A20" s="49" t="s">
        <v>446</v>
      </c>
      <c r="B20" s="56" t="s">
        <v>661</v>
      </c>
      <c r="C20" s="56" t="s">
        <v>661</v>
      </c>
      <c r="D20" s="56" t="s">
        <v>318</v>
      </c>
      <c r="E20" s="56" t="s">
        <v>318</v>
      </c>
      <c r="F20" s="56" t="s">
        <v>554</v>
      </c>
      <c r="G20" s="56" t="s">
        <v>558</v>
      </c>
      <c r="H20" s="56" t="s">
        <v>582</v>
      </c>
      <c r="I20" s="56" t="s">
        <v>589</v>
      </c>
      <c r="J20" s="56" t="s">
        <v>586</v>
      </c>
      <c r="K20" s="56" t="s">
        <v>356</v>
      </c>
      <c r="L20" s="56" t="s">
        <v>593</v>
      </c>
      <c r="M20" s="56"/>
      <c r="N20" s="56"/>
      <c r="O20" s="56"/>
      <c r="P20" s="52" t="s">
        <v>191</v>
      </c>
    </row>
    <row r="21" customFormat="false" ht="30" hidden="false" customHeight="true" outlineLevel="0" collapsed="false">
      <c r="A21" s="38" t="s">
        <v>449</v>
      </c>
      <c r="B21" s="55" t="s">
        <v>662</v>
      </c>
      <c r="C21" s="55" t="s">
        <v>662</v>
      </c>
      <c r="D21" s="55" t="s">
        <v>334</v>
      </c>
      <c r="E21" s="55" t="s">
        <v>334</v>
      </c>
      <c r="F21" s="55" t="s">
        <v>326</v>
      </c>
      <c r="G21" s="55" t="s">
        <v>335</v>
      </c>
      <c r="H21" s="55" t="s">
        <v>344</v>
      </c>
      <c r="I21" s="55" t="s">
        <v>350</v>
      </c>
      <c r="J21" s="55" t="s">
        <v>353</v>
      </c>
      <c r="K21" s="55" t="s">
        <v>591</v>
      </c>
      <c r="L21" s="55" t="s">
        <v>596</v>
      </c>
      <c r="M21" s="55"/>
      <c r="N21" s="55"/>
      <c r="O21" s="55"/>
      <c r="P21" s="48" t="s">
        <v>191</v>
      </c>
    </row>
    <row r="22" customFormat="false" ht="30" hidden="false" customHeight="true" outlineLevel="0" collapsed="false">
      <c r="A22" s="49" t="s">
        <v>452</v>
      </c>
      <c r="B22" s="56" t="s">
        <v>663</v>
      </c>
      <c r="C22" s="56" t="s">
        <v>663</v>
      </c>
      <c r="D22" s="56" t="s">
        <v>322</v>
      </c>
      <c r="E22" s="56" t="s">
        <v>322</v>
      </c>
      <c r="F22" s="56" t="s">
        <v>326</v>
      </c>
      <c r="G22" s="56" t="s">
        <v>335</v>
      </c>
      <c r="H22" s="56" t="s">
        <v>344</v>
      </c>
      <c r="I22" s="56" t="s">
        <v>350</v>
      </c>
      <c r="J22" s="56" t="s">
        <v>353</v>
      </c>
      <c r="K22" s="56" t="s">
        <v>591</v>
      </c>
      <c r="L22" s="56" t="s">
        <v>596</v>
      </c>
      <c r="M22" s="56"/>
      <c r="N22" s="56"/>
      <c r="O22" s="56"/>
      <c r="P22" s="52" t="s">
        <v>191</v>
      </c>
    </row>
    <row r="23" customFormat="false" ht="30" hidden="false" customHeight="true" outlineLevel="0" collapsed="false">
      <c r="A23" s="38" t="s">
        <v>664</v>
      </c>
      <c r="B23" s="55" t="s">
        <v>665</v>
      </c>
      <c r="C23" s="55" t="s">
        <v>665</v>
      </c>
      <c r="D23" s="55" t="s">
        <v>355</v>
      </c>
      <c r="E23" s="55" t="s">
        <v>355</v>
      </c>
      <c r="F23" s="55" t="s">
        <v>347</v>
      </c>
      <c r="G23" s="55" t="s">
        <v>356</v>
      </c>
      <c r="H23" s="55" t="s">
        <v>562</v>
      </c>
      <c r="I23" s="55" t="s">
        <v>666</v>
      </c>
      <c r="J23" s="55"/>
      <c r="K23" s="55"/>
      <c r="L23" s="55"/>
      <c r="M23" s="55"/>
      <c r="N23" s="55"/>
      <c r="O23" s="55"/>
      <c r="P23" s="48" t="s">
        <v>206</v>
      </c>
    </row>
    <row r="24" customFormat="false" ht="30" hidden="false" customHeight="true" outlineLevel="0" collapsed="false">
      <c r="A24" s="49" t="s">
        <v>667</v>
      </c>
      <c r="B24" s="56" t="s">
        <v>665</v>
      </c>
      <c r="C24" s="56" t="s">
        <v>665</v>
      </c>
      <c r="D24" s="56" t="s">
        <v>355</v>
      </c>
      <c r="E24" s="56" t="s">
        <v>355</v>
      </c>
      <c r="F24" s="56" t="s">
        <v>347</v>
      </c>
      <c r="G24" s="56" t="s">
        <v>356</v>
      </c>
      <c r="H24" s="56" t="s">
        <v>562</v>
      </c>
      <c r="I24" s="56" t="s">
        <v>666</v>
      </c>
      <c r="J24" s="56"/>
      <c r="K24" s="56"/>
      <c r="L24" s="56"/>
      <c r="M24" s="56"/>
      <c r="N24" s="56"/>
      <c r="O24" s="56"/>
      <c r="P24" s="52" t="s">
        <v>206</v>
      </c>
    </row>
    <row r="26" customFormat="false" ht="15" hidden="false" customHeight="true" outlineLevel="0" collapsed="false">
      <c r="A26" s="58" t="s">
        <v>668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</row>
    <row r="27" customFormat="false" ht="30" hidden="false" customHeight="true" outlineLevel="0" collapsed="false">
      <c r="A27" s="36" t="s">
        <v>308</v>
      </c>
      <c r="B27" s="59" t="s">
        <v>309</v>
      </c>
      <c r="C27" s="59" t="s">
        <v>310</v>
      </c>
      <c r="D27" s="59" t="s">
        <v>311</v>
      </c>
      <c r="E27" s="59" t="s">
        <v>312</v>
      </c>
      <c r="F27" s="59" t="s">
        <v>313</v>
      </c>
      <c r="G27" s="59" t="s">
        <v>314</v>
      </c>
      <c r="H27" s="59" t="s">
        <v>541</v>
      </c>
      <c r="I27" s="59" t="s">
        <v>542</v>
      </c>
      <c r="J27" s="59" t="s">
        <v>543</v>
      </c>
      <c r="K27" s="59" t="s">
        <v>544</v>
      </c>
      <c r="L27" s="59" t="s">
        <v>650</v>
      </c>
      <c r="M27" s="59" t="s">
        <v>651</v>
      </c>
      <c r="N27" s="59" t="s">
        <v>652</v>
      </c>
      <c r="O27" s="59" t="s">
        <v>653</v>
      </c>
      <c r="P27" s="63" t="s">
        <v>315</v>
      </c>
    </row>
    <row r="28" customFormat="false" ht="30" hidden="false" customHeight="true" outlineLevel="0" collapsed="false">
      <c r="A28" s="38" t="s">
        <v>316</v>
      </c>
      <c r="B28" s="61" t="s">
        <v>669</v>
      </c>
      <c r="C28" s="61" t="s">
        <v>669</v>
      </c>
      <c r="D28" s="61" t="s">
        <v>670</v>
      </c>
      <c r="E28" s="61" t="s">
        <v>670</v>
      </c>
      <c r="F28" s="55" t="s">
        <v>671</v>
      </c>
      <c r="G28" s="61" t="s">
        <v>672</v>
      </c>
      <c r="H28" s="61" t="s">
        <v>673</v>
      </c>
      <c r="I28" s="61" t="s">
        <v>674</v>
      </c>
      <c r="J28" s="61" t="s">
        <v>675</v>
      </c>
      <c r="K28" s="61" t="s">
        <v>676</v>
      </c>
      <c r="L28" s="61" t="s">
        <v>677</v>
      </c>
      <c r="M28" s="61" t="s">
        <v>678</v>
      </c>
      <c r="N28" s="61" t="s">
        <v>565</v>
      </c>
      <c r="O28" s="61"/>
      <c r="P28" s="48" t="s">
        <v>191</v>
      </c>
    </row>
    <row r="29" customFormat="false" ht="30" hidden="false" customHeight="true" outlineLevel="0" collapsed="false">
      <c r="A29" s="49" t="s">
        <v>320</v>
      </c>
      <c r="B29" s="62" t="s">
        <v>669</v>
      </c>
      <c r="C29" s="62" t="s">
        <v>669</v>
      </c>
      <c r="D29" s="62" t="s">
        <v>679</v>
      </c>
      <c r="E29" s="62" t="s">
        <v>679</v>
      </c>
      <c r="F29" s="62" t="s">
        <v>672</v>
      </c>
      <c r="G29" s="56" t="s">
        <v>680</v>
      </c>
      <c r="H29" s="56" t="s">
        <v>675</v>
      </c>
      <c r="I29" s="56" t="s">
        <v>681</v>
      </c>
      <c r="J29" s="56" t="s">
        <v>678</v>
      </c>
      <c r="K29" s="56" t="s">
        <v>682</v>
      </c>
      <c r="L29" s="56" t="s">
        <v>683</v>
      </c>
      <c r="M29" s="56" t="s">
        <v>684</v>
      </c>
      <c r="N29" s="56" t="s">
        <v>566</v>
      </c>
      <c r="O29" s="57"/>
      <c r="P29" s="52" t="s">
        <v>191</v>
      </c>
    </row>
    <row r="30" customFormat="false" ht="30" hidden="false" customHeight="true" outlineLevel="0" collapsed="false">
      <c r="A30" s="38" t="s">
        <v>324</v>
      </c>
      <c r="B30" s="61" t="s">
        <v>669</v>
      </c>
      <c r="C30" s="61" t="s">
        <v>669</v>
      </c>
      <c r="D30" s="61" t="s">
        <v>679</v>
      </c>
      <c r="E30" s="55" t="s">
        <v>679</v>
      </c>
      <c r="F30" s="55" t="s">
        <v>672</v>
      </c>
      <c r="G30" s="55" t="s">
        <v>680</v>
      </c>
      <c r="H30" s="55" t="s">
        <v>675</v>
      </c>
      <c r="I30" s="55" t="s">
        <v>681</v>
      </c>
      <c r="J30" s="55" t="s">
        <v>678</v>
      </c>
      <c r="K30" s="55" t="s">
        <v>682</v>
      </c>
      <c r="L30" s="55" t="s">
        <v>683</v>
      </c>
      <c r="M30" s="55" t="s">
        <v>684</v>
      </c>
      <c r="N30" s="55" t="s">
        <v>566</v>
      </c>
      <c r="O30" s="39"/>
      <c r="P30" s="48" t="s">
        <v>191</v>
      </c>
    </row>
    <row r="31" customFormat="false" ht="30" hidden="false" customHeight="true" outlineLevel="0" collapsed="false">
      <c r="A31" s="49" t="s">
        <v>327</v>
      </c>
      <c r="B31" s="62" t="s">
        <v>685</v>
      </c>
      <c r="C31" s="62" t="s">
        <v>685</v>
      </c>
      <c r="D31" s="56" t="s">
        <v>671</v>
      </c>
      <c r="E31" s="62" t="s">
        <v>671</v>
      </c>
      <c r="F31" s="56" t="s">
        <v>673</v>
      </c>
      <c r="G31" s="56" t="s">
        <v>675</v>
      </c>
      <c r="H31" s="56" t="s">
        <v>677</v>
      </c>
      <c r="I31" s="56" t="s">
        <v>686</v>
      </c>
      <c r="J31" s="56" t="s">
        <v>683</v>
      </c>
      <c r="K31" s="56" t="s">
        <v>687</v>
      </c>
      <c r="L31" s="56" t="s">
        <v>688</v>
      </c>
      <c r="M31" s="56" t="s">
        <v>689</v>
      </c>
      <c r="N31" s="56" t="s">
        <v>567</v>
      </c>
      <c r="O31" s="56"/>
      <c r="P31" s="52" t="s">
        <v>191</v>
      </c>
    </row>
    <row r="32" customFormat="false" ht="30" hidden="false" customHeight="true" outlineLevel="0" collapsed="false">
      <c r="A32" s="38" t="s">
        <v>330</v>
      </c>
      <c r="B32" s="61" t="s">
        <v>685</v>
      </c>
      <c r="C32" s="61" t="s">
        <v>685</v>
      </c>
      <c r="D32" s="55" t="s">
        <v>690</v>
      </c>
      <c r="E32" s="55" t="s">
        <v>690</v>
      </c>
      <c r="F32" s="55" t="s">
        <v>691</v>
      </c>
      <c r="G32" s="55" t="s">
        <v>692</v>
      </c>
      <c r="H32" s="55" t="s">
        <v>565</v>
      </c>
      <c r="I32" s="55" t="s">
        <v>693</v>
      </c>
      <c r="J32" s="55" t="s">
        <v>566</v>
      </c>
      <c r="K32" s="55" t="s">
        <v>694</v>
      </c>
      <c r="L32" s="55" t="s">
        <v>567</v>
      </c>
      <c r="M32" s="39"/>
      <c r="N32" s="39"/>
      <c r="O32" s="55"/>
      <c r="P32" s="48" t="s">
        <v>191</v>
      </c>
    </row>
    <row r="33" customFormat="false" ht="30" hidden="false" customHeight="true" outlineLevel="0" collapsed="false">
      <c r="A33" s="49" t="s">
        <v>333</v>
      </c>
      <c r="B33" s="62" t="s">
        <v>685</v>
      </c>
      <c r="C33" s="62" t="s">
        <v>685</v>
      </c>
      <c r="D33" s="62" t="s">
        <v>690</v>
      </c>
      <c r="E33" s="56" t="s">
        <v>690</v>
      </c>
      <c r="F33" s="56" t="s">
        <v>691</v>
      </c>
      <c r="G33" s="56" t="s">
        <v>692</v>
      </c>
      <c r="H33" s="56" t="s">
        <v>565</v>
      </c>
      <c r="I33" s="56" t="s">
        <v>693</v>
      </c>
      <c r="J33" s="56" t="s">
        <v>566</v>
      </c>
      <c r="K33" s="56" t="s">
        <v>694</v>
      </c>
      <c r="L33" s="56" t="s">
        <v>567</v>
      </c>
      <c r="M33" s="57"/>
      <c r="N33" s="57"/>
      <c r="O33" s="56"/>
      <c r="P33" s="52" t="s">
        <v>191</v>
      </c>
    </row>
    <row r="34" customFormat="false" ht="30" hidden="false" customHeight="true" outlineLevel="0" collapsed="false">
      <c r="A34" s="38" t="s">
        <v>336</v>
      </c>
      <c r="B34" s="61" t="s">
        <v>695</v>
      </c>
      <c r="C34" s="61" t="s">
        <v>695</v>
      </c>
      <c r="D34" s="61" t="s">
        <v>672</v>
      </c>
      <c r="E34" s="55" t="s">
        <v>672</v>
      </c>
      <c r="F34" s="55" t="s">
        <v>691</v>
      </c>
      <c r="G34" s="55" t="s">
        <v>692</v>
      </c>
      <c r="H34" s="55" t="s">
        <v>565</v>
      </c>
      <c r="I34" s="55" t="s">
        <v>693</v>
      </c>
      <c r="J34" s="55" t="s">
        <v>566</v>
      </c>
      <c r="K34" s="55" t="s">
        <v>694</v>
      </c>
      <c r="L34" s="55" t="s">
        <v>567</v>
      </c>
      <c r="M34" s="55" t="s">
        <v>696</v>
      </c>
      <c r="N34" s="55" t="s">
        <v>568</v>
      </c>
      <c r="O34" s="55"/>
      <c r="P34" s="48" t="s">
        <v>191</v>
      </c>
    </row>
    <row r="35" customFormat="false" ht="30" hidden="false" customHeight="true" outlineLevel="0" collapsed="false">
      <c r="A35" s="49" t="s">
        <v>339</v>
      </c>
      <c r="B35" s="62" t="s">
        <v>695</v>
      </c>
      <c r="C35" s="56" t="s">
        <v>695</v>
      </c>
      <c r="D35" s="56" t="s">
        <v>672</v>
      </c>
      <c r="E35" s="56" t="s">
        <v>672</v>
      </c>
      <c r="F35" s="56" t="s">
        <v>697</v>
      </c>
      <c r="G35" s="56" t="s">
        <v>565</v>
      </c>
      <c r="H35" s="56" t="s">
        <v>693</v>
      </c>
      <c r="I35" s="56" t="s">
        <v>566</v>
      </c>
      <c r="J35" s="56" t="s">
        <v>694</v>
      </c>
      <c r="K35" s="56" t="s">
        <v>567</v>
      </c>
      <c r="L35" s="56" t="s">
        <v>696</v>
      </c>
      <c r="M35" s="56" t="s">
        <v>568</v>
      </c>
      <c r="N35" s="57"/>
      <c r="O35" s="56"/>
      <c r="P35" s="52" t="s">
        <v>191</v>
      </c>
    </row>
    <row r="36" customFormat="false" ht="30" hidden="false" customHeight="true" outlineLevel="0" collapsed="false">
      <c r="A36" s="38" t="s">
        <v>437</v>
      </c>
      <c r="B36" s="61" t="s">
        <v>695</v>
      </c>
      <c r="C36" s="55" t="s">
        <v>695</v>
      </c>
      <c r="D36" s="55" t="s">
        <v>698</v>
      </c>
      <c r="E36" s="55" t="s">
        <v>698</v>
      </c>
      <c r="F36" s="55" t="s">
        <v>697</v>
      </c>
      <c r="G36" s="55" t="s">
        <v>565</v>
      </c>
      <c r="H36" s="55" t="s">
        <v>693</v>
      </c>
      <c r="I36" s="55" t="s">
        <v>566</v>
      </c>
      <c r="J36" s="55" t="s">
        <v>694</v>
      </c>
      <c r="K36" s="55" t="s">
        <v>567</v>
      </c>
      <c r="L36" s="55" t="s">
        <v>696</v>
      </c>
      <c r="M36" s="55" t="s">
        <v>568</v>
      </c>
      <c r="N36" s="55" t="s">
        <v>699</v>
      </c>
      <c r="O36" s="55" t="s">
        <v>569</v>
      </c>
      <c r="P36" s="48" t="s">
        <v>191</v>
      </c>
    </row>
    <row r="37" customFormat="false" ht="30" hidden="false" customHeight="true" outlineLevel="0" collapsed="false">
      <c r="A37" s="49" t="s">
        <v>440</v>
      </c>
      <c r="B37" s="62" t="s">
        <v>700</v>
      </c>
      <c r="C37" s="56" t="s">
        <v>700</v>
      </c>
      <c r="D37" s="56" t="s">
        <v>673</v>
      </c>
      <c r="E37" s="56" t="s">
        <v>673</v>
      </c>
      <c r="F37" s="56" t="s">
        <v>692</v>
      </c>
      <c r="G37" s="56" t="s">
        <v>565</v>
      </c>
      <c r="H37" s="56" t="s">
        <v>693</v>
      </c>
      <c r="I37" s="56" t="s">
        <v>566</v>
      </c>
      <c r="J37" s="56" t="s">
        <v>694</v>
      </c>
      <c r="K37" s="56" t="s">
        <v>567</v>
      </c>
      <c r="L37" s="56" t="s">
        <v>696</v>
      </c>
      <c r="M37" s="56" t="s">
        <v>568</v>
      </c>
      <c r="N37" s="56" t="s">
        <v>699</v>
      </c>
      <c r="O37" s="56" t="s">
        <v>569</v>
      </c>
      <c r="P37" s="52" t="s">
        <v>191</v>
      </c>
    </row>
    <row r="38" customFormat="false" ht="30" hidden="false" customHeight="true" outlineLevel="0" collapsed="false">
      <c r="A38" s="38" t="s">
        <v>443</v>
      </c>
      <c r="B38" s="61" t="s">
        <v>700</v>
      </c>
      <c r="C38" s="61" t="s">
        <v>700</v>
      </c>
      <c r="D38" s="55" t="s">
        <v>673</v>
      </c>
      <c r="E38" s="55" t="s">
        <v>673</v>
      </c>
      <c r="F38" s="55" t="s">
        <v>677</v>
      </c>
      <c r="G38" s="55" t="s">
        <v>693</v>
      </c>
      <c r="H38" s="55" t="s">
        <v>566</v>
      </c>
      <c r="I38" s="55" t="s">
        <v>694</v>
      </c>
      <c r="J38" s="55" t="s">
        <v>567</v>
      </c>
      <c r="K38" s="55" t="s">
        <v>696</v>
      </c>
      <c r="L38" s="55" t="s">
        <v>568</v>
      </c>
      <c r="M38" s="55" t="s">
        <v>699</v>
      </c>
      <c r="N38" s="55" t="s">
        <v>569</v>
      </c>
      <c r="O38" s="39"/>
      <c r="P38" s="48" t="s">
        <v>191</v>
      </c>
    </row>
    <row r="39" customFormat="false" ht="30" hidden="false" customHeight="true" outlineLevel="0" collapsed="false">
      <c r="A39" s="49" t="s">
        <v>446</v>
      </c>
      <c r="B39" s="62" t="s">
        <v>700</v>
      </c>
      <c r="C39" s="62" t="s">
        <v>700</v>
      </c>
      <c r="D39" s="56" t="s">
        <v>680</v>
      </c>
      <c r="E39" s="56" t="s">
        <v>680</v>
      </c>
      <c r="F39" s="56" t="s">
        <v>692</v>
      </c>
      <c r="G39" s="56" t="s">
        <v>565</v>
      </c>
      <c r="H39" s="56" t="s">
        <v>566</v>
      </c>
      <c r="I39" s="56" t="s">
        <v>567</v>
      </c>
      <c r="J39" s="56" t="s">
        <v>568</v>
      </c>
      <c r="K39" s="56" t="s">
        <v>569</v>
      </c>
      <c r="L39" s="56" t="s">
        <v>701</v>
      </c>
      <c r="M39" s="56" t="s">
        <v>570</v>
      </c>
      <c r="N39" s="57"/>
      <c r="O39" s="56"/>
      <c r="P39" s="52" t="s">
        <v>191</v>
      </c>
    </row>
    <row r="40" customFormat="false" ht="30" hidden="false" customHeight="true" outlineLevel="0" collapsed="false">
      <c r="A40" s="38" t="s">
        <v>449</v>
      </c>
      <c r="B40" s="61" t="s">
        <v>700</v>
      </c>
      <c r="C40" s="55" t="s">
        <v>700</v>
      </c>
      <c r="D40" s="55" t="s">
        <v>680</v>
      </c>
      <c r="E40" s="55" t="s">
        <v>680</v>
      </c>
      <c r="F40" s="55" t="s">
        <v>692</v>
      </c>
      <c r="G40" s="55" t="s">
        <v>565</v>
      </c>
      <c r="H40" s="55" t="s">
        <v>566</v>
      </c>
      <c r="I40" s="55" t="s">
        <v>567</v>
      </c>
      <c r="J40" s="55" t="s">
        <v>568</v>
      </c>
      <c r="K40" s="55" t="s">
        <v>569</v>
      </c>
      <c r="L40" s="55" t="s">
        <v>701</v>
      </c>
      <c r="M40" s="55" t="s">
        <v>570</v>
      </c>
      <c r="N40" s="55"/>
      <c r="O40" s="55"/>
      <c r="P40" s="48" t="s">
        <v>191</v>
      </c>
    </row>
    <row r="41" customFormat="false" ht="30" hidden="false" customHeight="true" outlineLevel="0" collapsed="false">
      <c r="A41" s="49" t="s">
        <v>452</v>
      </c>
      <c r="B41" s="62" t="s">
        <v>702</v>
      </c>
      <c r="C41" s="56" t="s">
        <v>702</v>
      </c>
      <c r="D41" s="56" t="s">
        <v>691</v>
      </c>
      <c r="E41" s="56" t="s">
        <v>691</v>
      </c>
      <c r="F41" s="56" t="s">
        <v>565</v>
      </c>
      <c r="G41" s="56" t="s">
        <v>566</v>
      </c>
      <c r="H41" s="56" t="s">
        <v>567</v>
      </c>
      <c r="I41" s="56" t="s">
        <v>568</v>
      </c>
      <c r="J41" s="56" t="s">
        <v>569</v>
      </c>
      <c r="K41" s="56" t="s">
        <v>701</v>
      </c>
      <c r="L41" s="56" t="s">
        <v>570</v>
      </c>
      <c r="M41" s="56"/>
      <c r="N41" s="56"/>
      <c r="O41" s="56"/>
      <c r="P41" s="52" t="s">
        <v>191</v>
      </c>
    </row>
    <row r="42" customFormat="false" ht="30" hidden="false" customHeight="true" outlineLevel="0" collapsed="false">
      <c r="A42" s="38" t="s">
        <v>664</v>
      </c>
      <c r="B42" s="55" t="s">
        <v>600</v>
      </c>
      <c r="C42" s="55" t="s">
        <v>600</v>
      </c>
      <c r="D42" s="55" t="s">
        <v>601</v>
      </c>
      <c r="E42" s="55" t="s">
        <v>601</v>
      </c>
      <c r="F42" s="55" t="s">
        <v>603</v>
      </c>
      <c r="G42" s="55" t="s">
        <v>605</v>
      </c>
      <c r="H42" s="55" t="s">
        <v>606</v>
      </c>
      <c r="I42" s="55" t="s">
        <v>619</v>
      </c>
      <c r="J42" s="55"/>
      <c r="K42" s="55"/>
      <c r="L42" s="55"/>
      <c r="M42" s="55"/>
      <c r="N42" s="55"/>
      <c r="O42" s="55"/>
      <c r="P42" s="48" t="s">
        <v>206</v>
      </c>
    </row>
    <row r="43" customFormat="false" ht="30" hidden="false" customHeight="true" outlineLevel="0" collapsed="false">
      <c r="A43" s="49" t="s">
        <v>667</v>
      </c>
      <c r="B43" s="56" t="s">
        <v>600</v>
      </c>
      <c r="C43" s="56" t="s">
        <v>600</v>
      </c>
      <c r="D43" s="56" t="s">
        <v>601</v>
      </c>
      <c r="E43" s="56" t="s">
        <v>601</v>
      </c>
      <c r="F43" s="56" t="s">
        <v>603</v>
      </c>
      <c r="G43" s="56" t="s">
        <v>605</v>
      </c>
      <c r="H43" s="56" t="s">
        <v>606</v>
      </c>
      <c r="I43" s="56" t="s">
        <v>619</v>
      </c>
      <c r="J43" s="56"/>
      <c r="K43" s="56"/>
      <c r="L43" s="56"/>
      <c r="M43" s="56"/>
      <c r="N43" s="56"/>
      <c r="O43" s="56"/>
      <c r="P43" s="52" t="s">
        <v>206</v>
      </c>
    </row>
  </sheetData>
  <mergeCells count="7">
    <mergeCell ref="A1:P1"/>
    <mergeCell ref="A2:P2"/>
    <mergeCell ref="A3:P3"/>
    <mergeCell ref="A4:P4"/>
    <mergeCell ref="A5:P5"/>
    <mergeCell ref="A7:P7"/>
    <mergeCell ref="A26:P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2026-06-25T19:13:56Z</dcterms:created>
  <dc:creator/>
  <dc:description/>
  <dc:language>en-US</dc:language>
  <cp:lastModifiedBy/>
  <dcterms:modified xsi:type="dcterms:W3CDTF">2026-10-17T23:23:44Z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