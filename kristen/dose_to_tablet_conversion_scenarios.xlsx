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13_ncr:1_{63344DD4-6864-4ABD-89A6-0D18243C2070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cenario handling" sheetId="1" r:id="rId1"/>
    <sheet name="Flags &amp; clarific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40" i="1" l="1"/>
  <c r="N40" i="1"/>
  <c r="M40" i="1"/>
  <c r="S39" i="1"/>
  <c r="N39" i="1"/>
  <c r="M39" i="1"/>
  <c r="S38" i="1"/>
  <c r="N38" i="1"/>
  <c r="M38" i="1"/>
  <c r="S37" i="1"/>
  <c r="N37" i="1"/>
  <c r="M37" i="1"/>
  <c r="S36" i="1"/>
  <c r="N36" i="1"/>
  <c r="M36" i="1"/>
  <c r="S35" i="1"/>
  <c r="N35" i="1"/>
  <c r="M35" i="1"/>
  <c r="S34" i="1"/>
  <c r="N34" i="1"/>
  <c r="M34" i="1"/>
  <c r="S33" i="1"/>
  <c r="N33" i="1"/>
  <c r="M33" i="1"/>
  <c r="S32" i="1"/>
  <c r="N32" i="1"/>
  <c r="M32" i="1"/>
  <c r="S31" i="1"/>
  <c r="N31" i="1"/>
  <c r="M31" i="1"/>
  <c r="S30" i="1"/>
  <c r="N30" i="1"/>
  <c r="M30" i="1"/>
  <c r="S29" i="1"/>
  <c r="N29" i="1"/>
  <c r="M29" i="1"/>
  <c r="S28" i="1"/>
  <c r="N28" i="1"/>
  <c r="M28" i="1"/>
  <c r="S27" i="1"/>
  <c r="N27" i="1"/>
  <c r="M27" i="1"/>
  <c r="S26" i="1"/>
  <c r="N26" i="1"/>
  <c r="M26" i="1"/>
  <c r="S25" i="1"/>
  <c r="N25" i="1"/>
  <c r="M25" i="1"/>
  <c r="S24" i="1"/>
  <c r="N24" i="1"/>
  <c r="M24" i="1"/>
  <c r="S23" i="1"/>
  <c r="N23" i="1"/>
  <c r="M23" i="1"/>
  <c r="S22" i="1"/>
  <c r="N22" i="1"/>
  <c r="M22" i="1"/>
  <c r="S21" i="1"/>
  <c r="N21" i="1"/>
  <c r="M21" i="1"/>
  <c r="S20" i="1"/>
  <c r="N20" i="1"/>
  <c r="M20" i="1"/>
  <c r="S19" i="1"/>
  <c r="N19" i="1"/>
  <c r="M19" i="1"/>
  <c r="S18" i="1"/>
  <c r="N18" i="1"/>
  <c r="M18" i="1"/>
  <c r="S17" i="1"/>
  <c r="N17" i="1"/>
  <c r="M17" i="1"/>
  <c r="S16" i="1"/>
  <c r="N16" i="1"/>
  <c r="M16" i="1"/>
  <c r="S15" i="1"/>
  <c r="N15" i="1"/>
  <c r="M15" i="1"/>
  <c r="S14" i="1"/>
  <c r="N14" i="1"/>
  <c r="M14" i="1"/>
  <c r="S13" i="1"/>
  <c r="N13" i="1"/>
  <c r="M13" i="1"/>
  <c r="S12" i="1"/>
  <c r="N12" i="1"/>
  <c r="M12" i="1"/>
  <c r="S11" i="1"/>
  <c r="N11" i="1"/>
  <c r="M11" i="1"/>
  <c r="S10" i="1"/>
  <c r="N10" i="1"/>
  <c r="M10" i="1"/>
  <c r="S9" i="1"/>
  <c r="N9" i="1"/>
  <c r="M9" i="1"/>
  <c r="S8" i="1"/>
  <c r="N8" i="1"/>
  <c r="M8" i="1"/>
  <c r="S7" i="1"/>
  <c r="N7" i="1"/>
  <c r="M7" i="1"/>
  <c r="S6" i="1"/>
  <c r="N6" i="1"/>
  <c r="M6" i="1"/>
  <c r="S5" i="1"/>
  <c r="N5" i="1"/>
  <c r="M5" i="1"/>
</calcChain>
</file>

<file path=xl/sharedStrings.xml><?xml version="1.0" encoding="utf-8"?>
<sst xmlns="http://schemas.openxmlformats.org/spreadsheetml/2006/main" count="367" uniqueCount="224">
  <si>
    <t>Doses = Dr. Barbour's final_doses_titration_v6 ladder (DRAFT, verified:false). Formulations = RxNorm strengths in asm_rules.json. Handling reflects Kristen's 2026-07-23 decisions: CLIMB = hit target precisely (split/liquid OK, transient); GOAL = simplest whole-tablet within the window.</t>
  </si>
  <si>
    <t>NOTE: the engine currently outputs mg/day only — this mg→tablet layer is the PROPOSED handling, not yet in production. Window = [target−10%, target+30%]; −10%/+30% and Deviation are live formulas. Amber = needs a decision (see Flags tab).</t>
  </si>
  <si>
    <t>#</t>
  </si>
  <si>
    <t>Type</t>
  </si>
  <si>
    <t>Drug</t>
  </si>
  <si>
    <t>Band</t>
  </si>
  <si>
    <t>Weight (kg)</t>
  </si>
  <si>
    <t>Phase</t>
  </si>
  <si>
    <t>Target (mg/day)</t>
  </si>
  <si>
    <t>−10% floor</t>
  </si>
  <si>
    <t>+30% ceiling</t>
  </si>
  <si>
    <t>Available formulations (RxNorm)</t>
  </si>
  <si>
    <t>Recommended administration</t>
  </si>
  <si>
    <t>How we address it now</t>
  </si>
  <si>
    <t>Result (mg/day)</t>
  </si>
  <si>
    <t>Deviation</t>
  </si>
  <si>
    <t>Exact whole tablet</t>
  </si>
  <si>
    <t>clobazam</t>
  </si>
  <si>
    <t>Children ≥5 years</t>
  </si>
  <si>
    <t>—</t>
  </si>
  <si>
    <t>Goal</t>
  </si>
  <si>
    <t>tablet: 5/10/20 mg; oral film: 5/10/20 mg | liquid: 2.5 mg/mL</t>
  </si>
  <si>
    <t>1×10mg = 10 mg/day</t>
  </si>
  <si>
    <t>Goal is a clean whole-tablet dose → dispense whole tablets, no rounding.</t>
  </si>
  <si>
    <t>topiramate</t>
  </si>
  <si>
    <t>12–22 kg</t>
  </si>
  <si>
    <t>tablet (ir): 25/50/100/200 mg; sprinkle capsule: 15/25 mg; capsule: 50 mg | liquid: 25 mg/mL</t>
  </si>
  <si>
    <t>1×200mg = 200 mg/day</t>
  </si>
  <si>
    <t>lamotrigine</t>
  </si>
  <si>
    <t>Adolescents 12–16 years</t>
  </si>
  <si>
    <t>tablet (ir): 25/50/100/150/200/250 mg; chewable/dispersible tablet (tab for oral susp): 2/5/25 mg; orally disintegrating tablet (odt): 25/50/100/200 mg | liquid: 10 mg/mL</t>
  </si>
  <si>
    <t>1×150mg = 150 mg/day</t>
  </si>
  <si>
    <t>brivaracetam</t>
  </si>
  <si>
    <t>20 to &lt;50 kg</t>
  </si>
  <si>
    <t>tablet: 10/25/50/75/100 mg | liquid: 10 mg/mL</t>
  </si>
  <si>
    <t>1×50mg + 2×10mg = 70 mg/day</t>
  </si>
  <si>
    <t>oxcarbazepine</t>
  </si>
  <si>
    <t>35 to &lt;45 kg</t>
  </si>
  <si>
    <t>tablet: 150/300/600 mg | liquid: 60 mg/mL</t>
  </si>
  <si>
    <t>1×600mg + 1×300mg = 900 mg/day</t>
  </si>
  <si>
    <t>≤11 kg</t>
  </si>
  <si>
    <t>1×100mg + 1×50mg = 150 mg/day</t>
  </si>
  <si>
    <t>Round DOWN in window</t>
  </si>
  <si>
    <t>carbamazepine</t>
  </si>
  <si>
    <t>Children 2 to &lt;6 years</t>
  </si>
  <si>
    <t>chewable tablet: 100/200 mg; tablet: 200/400 mg | liquid: 20 mg/mL</t>
  </si>
  <si>
    <t>1×200mg = 200 mg/day (-9.1%)</t>
  </si>
  <si>
    <t>Goal 220 rounds DOWN to nearest whole tablet 200 (-9.1%), inside −10%. Simple whole-tablet maintenance.</t>
  </si>
  <si>
    <t>ethosuximide</t>
  </si>
  <si>
    <t>Children ≥2 years and Adults</t>
  </si>
  <si>
    <t>capsule: 250 mg | liquid: 50 mg/mL</t>
  </si>
  <si>
    <t>4×250mg = 1000 mg/day (-9.1%)</t>
  </si>
  <si>
    <t>Goal 1100 rounds DOWN to nearest whole tablet 1000 (-9.1%), inside −10%. Simple whole-tablet maintenance.</t>
  </si>
  <si>
    <t>levetiracetam</t>
  </si>
  <si>
    <t>tablet (ir): 250/500/750/1000 mg; tablet for oral suspension: 250/500/750/1000 mg | liquid: 100 mg/mL</t>
  </si>
  <si>
    <t>1×1000mg = 1000 mg/day (-4.8%)</t>
  </si>
  <si>
    <t>Goal 1050 rounds DOWN to nearest whole tablet 1000 (-4.8%), inside −10%. Simple whole-tablet maintenance.</t>
  </si>
  <si>
    <t>Round UP (small)</t>
  </si>
  <si>
    <t>&lt;11 kg</t>
  </si>
  <si>
    <t>1×25mg = 25 mg/day (+4.2%)</t>
  </si>
  <si>
    <t>Goal 24 rounds UP to nearest whole tablet 25 (+4.2%), inside window. Whole-tablet maintenance.</t>
  </si>
  <si>
    <t>1×250mg = 250 mg/day (+4.2%)</t>
  </si>
  <si>
    <t>Goal 240 rounds UP to nearest whole tablet 250 (+4.2%), inside window. Whole-tablet maintenance.</t>
  </si>
  <si>
    <t>zonisamide</t>
  </si>
  <si>
    <t>Children ≥5 to &lt;16 years</t>
  </si>
  <si>
    <t>capsule: 25/50/100 mg; tablet: 100 mg | liquid: 20 mg/mL</t>
  </si>
  <si>
    <t>1×100mg = 100 mg/day (+11.1%)</t>
  </si>
  <si>
    <t>Goal 90 rounds UP to nearest whole tablet 100 (+11.1%), inside window. Whole-tablet maintenance.</t>
  </si>
  <si>
    <t>Dead-zone +25% round-up</t>
  </si>
  <si>
    <t>1×750mg = 750 mg/day (+25.0%)</t>
  </si>
  <si>
    <t>Goal 600 rounds UP to nearest whole tablet 750 (+25.0%), inside window. Whole-tablet maintenance.</t>
  </si>
  <si>
    <t>1×200mg = 200 mg/day (+25.0%)</t>
  </si>
  <si>
    <t>Goal 160 rounds UP to nearest whole tablet 200 (+25.0%), inside window. Whole-tablet maintenance.</t>
  </si>
  <si>
    <t>2×250mg = 500 mg/day (+25.0%)</t>
  </si>
  <si>
    <t>Goal 400 rounds UP to nearest whole tablet 500 (+25.0%), inside window. Whole-tablet maintenance.</t>
  </si>
  <si>
    <t>Children 2 to &lt;5 years</t>
  </si>
  <si>
    <t>1×50mg + 1×25mg = 75 mg/day (+25.0%)</t>
  </si>
  <si>
    <t>Goal 60 rounds UP to nearest whole tablet 75 (+25.0%), inside window. Whole-tablet maintenance.</t>
  </si>
  <si>
    <t>lacosamide</t>
  </si>
  <si>
    <t>30 to &lt;50 kg</t>
  </si>
  <si>
    <t>tablet: 50/100/150/200 mg | liquid: 10 mg/mL</t>
  </si>
  <si>
    <t>1×150mg = 150 mg/day (+25.0%)</t>
  </si>
  <si>
    <t>Goal 120 rounds UP to nearest whole tablet 150 (+25.0%), inside window. Whole-tablet maintenance.</t>
  </si>
  <si>
    <t>Coarse grid -&gt; liquid</t>
  </si>
  <si>
    <t>3.60 mL of 100 mg/mL oral solution</t>
  </si>
  <si>
    <t>Smallest tablet is bigger than the whole ±window — no tablet fits. Give oral liquid to hit the dose exactly.</t>
  </si>
  <si>
    <t>6.00 mL of 20 mg/mL oral suspension</t>
  </si>
  <si>
    <t>&lt;20 kg</t>
  </si>
  <si>
    <t>1.75 mL of 60 mg/mL oral suspension</t>
  </si>
  <si>
    <t>6 to &lt;30 kg</t>
  </si>
  <si>
    <t>3.60 mL of 10 mg/mL oral solution</t>
  </si>
  <si>
    <t>1.50 mL of 10 mg/mL oral solution</t>
  </si>
  <si>
    <t>Climb step - exact</t>
  </si>
  <si>
    <t>Children 2–12 years</t>
  </si>
  <si>
    <t>Climb</t>
  </si>
  <si>
    <t>Titration step lands on the tablet grid — whole (dispersible) tablets hit it exactly.</t>
  </si>
  <si>
    <t>Climb step - split OK</t>
  </si>
  <si>
    <t>Children &lt;5 years</t>
  </si>
  <si>
    <t>split a scored tablet to reach 7.5 mg (1×5mg + ½×5mg) — or 3.00 mL of 2.5 mg/mL oral suspension</t>
  </si>
  <si>
    <t>Titration step. Splitting a scored tablet is acceptable during the ~1-week climb to hit the step precisely (Kristen 2026-07-23).</t>
  </si>
  <si>
    <t>Climb step - liquid</t>
  </si>
  <si>
    <t>2.98 mL of 60 mg/mL oral suspension</t>
  </si>
  <si>
    <t>Titration step; use liquid to hit the step precisely (splitting/liquid fine on the transient climb).</t>
  </si>
  <si>
    <t>High tier -&gt; labs</t>
  </si>
  <si>
    <t>Adults &gt;18 years</t>
  </si>
  <si>
    <t>9×200mg = 1800 mg/day  + monitoring labs</t>
  </si>
  <si>
    <t>Step 1800 mg enters the higher, often-less-tolerated range — dose as whole tablets AND surface monitoring labs + tolerability review.</t>
  </si>
  <si>
    <t>valproic_acid</t>
  </si>
  <si>
    <t>capsule: 250 mg; delayed-release capsule: 125/150/250/500 mg; delayed-release tablet: 200 mg; tablet: 100 mg | liquid: 50 mg/mL; 40 mg/mL</t>
  </si>
  <si>
    <t>7×250mg = 1750 mg/day  + monitoring labs</t>
  </si>
  <si>
    <t>Step 1750 mg enters the higher, often-less-tolerated range — dose as whole tablets AND surface monitoring labs + tolerability review.</t>
  </si>
  <si>
    <t>+30% clamped by abs max</t>
  </si>
  <si>
    <t>60 to &lt;70 kg</t>
  </si>
  <si>
    <t>3×600mg + 1×300mg = 2100 mg/day (cap 2100)</t>
  </si>
  <si>
    <t>Target 2100; +30% would allow up to 2730 but the absolute max 2100 caps it. Never round above the cap.</t>
  </si>
  <si>
    <t>mg/kg step over abs cap</t>
  </si>
  <si>
    <t>step withheld — hold at absolute cap 3000 mg/day</t>
  </si>
  <si>
    <t>Weight-based step computes to 3500 mg/day, above this band's absolute max 3000. Engine withholds it (dose ceiling) and never proposes an over-cap dose.</t>
  </si>
  <si>
    <t>Lamotrigine never round up</t>
  </si>
  <si>
    <t>7×25mg + 2×5mg + 2×2mg = 189 mg/day (never above 189)</t>
  </si>
  <si>
    <t>Lamotrigine must never round UP (rash). Weight-based goal 189 is odd; built to ≤ goal from 2–5 mg dispersible — but that's ~11 tiny tablets (see Flags tab).</t>
  </si>
  <si>
    <t>CBZ/TPM round-up caution</t>
  </si>
  <si>
    <t>1×200mg = 200 mg/day (+11%)</t>
  </si>
  <si>
    <t>Nearest whole tablet is +11% over the 180 mg step. Carbamazepine/topiramate rounding-up needs caution — confirm acceptable or use liquid.</t>
  </si>
  <si>
    <t>Uneven AM/PM split (allowed)</t>
  </si>
  <si>
    <t>375 mg/day as 1×250mg AM / 1×125mg PM</t>
  </si>
  <si>
    <t>Nearest tablet total 375 mg isn't an even two-dose split; valproic acid allows uneven AM/PM — give 1×250mg AM / 1×125mg PM.</t>
  </si>
  <si>
    <t>Uneven split - drug NOT listed</t>
  </si>
  <si>
    <t>750 mg/day; even BID not clean → 1×500mg AM / 1×250mg PM</t>
  </si>
  <si>
    <t>750 mg splits as 1×500mg AM / 1×250mg PM (uneven). Levetiracetam is NOT on the uneven-split list — flagged: allow uneven or round to an even-splittable dose?</t>
  </si>
  <si>
    <t>ER/DR never split</t>
  </si>
  <si>
    <t>4×150mg = 600 mg/day (whole DR units only)</t>
  </si>
  <si>
    <t>Delayed/extended-release products are never split or crushed — whole ER/DR units only; fall back to IR or liquid if a fraction is needed.</t>
  </si>
  <si>
    <t>VPA liquid 40 vs 50 mg/mL</t>
  </si>
  <si>
    <t>7.20 mL of 50 mg/mL oral solution (syrup)  [or 9.00 mL of 40 mg/mL]</t>
  </si>
  <si>
    <t>If dosed as liquid, valproic acid comes in BOTH 40 and 50 mg/mL — the default concentration must be set (different mL for the same mg).</t>
  </si>
  <si>
    <t>≥50 kg</t>
  </si>
  <si>
    <t>These gate building the mg→tablet layer. #1 is the big one — it changes every number in the Scenario tab. Defaults are my suggestion to unblock; none are decided.</t>
  </si>
  <si>
    <t>Flag / tricky scenario</t>
  </si>
  <si>
    <t>Drugs &amp; example scenarios</t>
  </si>
  <si>
    <t>Why it's tricky (risk)</t>
  </si>
  <si>
    <t>Clarification to confirm with Kristen</t>
  </si>
  <si>
    <t>Suggested default to unblock</t>
  </si>
  <si>
    <t>1</t>
  </si>
  <si>
    <t>Rule basis: total vs increment</t>
  </si>
  <si>
    <t>ALL 11 drugs</t>
  </si>
  <si>
    <t>−10/+30% on the TOTAL dose (modeled here) is far looser than on each INCREASE (your earlier spec). Increment-based → many more liquids/splits.</t>
  </si>
  <si>
    <t>Does the −10/+30% tolerance apply to the total dose, or to each dose increase?</t>
  </si>
  <si>
    <t>Confirm basis; if increment-based, re-run — results tighten substantially.</t>
  </si>
  <si>
    <t>2</t>
  </si>
  <si>
    <t>Climb rounding direction</t>
  </si>
  <si>
    <t>All climb steps</t>
  </si>
  <si>
    <t>'Map to closest' vs 'bias up for control' changes every dead-zone step.</t>
  </si>
  <si>
    <t>On the climb, round to the CLOSEST dose or bias UP?</t>
  </si>
  <si>
    <t>Closest, unless seizures are active.</t>
  </si>
  <si>
    <t>3</t>
  </si>
  <si>
    <t>Coarse grid → liquid</t>
  </si>
  <si>
    <t>levetiracetam 12kg (360), carbamazepine 12kg (120), oxcarbazepine 14kg (105), lacosamide 6kg (36), brivaracetam &lt;11kg (15)</t>
  </si>
  <si>
    <t>Smallest tablet is larger than the whole ±window; only liquid fits. Grabbing the nearest out-of-window tablet would over-/under-dose.</t>
  </si>
  <si>
    <t>When no tablet fits the window, auto-recommend the oral liquid (never an out-of-window tablet)?</t>
  </si>
  <si>
    <t>Yes — liquid; surface the tablet→liquid switch to the MD.</t>
  </si>
  <si>
    <t>4</t>
  </si>
  <si>
    <t>+25% round-up at the GOAL</t>
  </si>
  <si>
    <t>levetiracetam 600→750, carbamazepine 160→200, ethosuximide 400→500, zonisamide 60→75, lacosamide 120→150</t>
  </si>
  <si>
    <t>The −10% floor excludes the lower tablet, so whole tablets jump ~+25% at a long-term maintenance dose.</t>
  </si>
  <si>
    <t>Is +25% acceptable at the maintenance goal, or should we use liquid to hit the goal exactly?</t>
  </si>
  <si>
    <t>Prefer liquid at goal to hit target; whole-tablet +25% only if family declines liquid.</t>
  </si>
  <si>
    <t>5</t>
  </si>
  <si>
    <t>Lamotrigine never-up + odd goals</t>
  </si>
  <si>
    <t>lamotrigine 54 / 90 / 135 / 189 mg (2–12y)</t>
  </si>
  <si>
    <t>Never round up (rash). Odd mg/kg goals need many 2–5 mg dispersibles (189 mg = 11 tablets).</t>
  </si>
  <si>
    <t>Round DOWN to a clean dispersible dose, or dispense the many-tablet exact dose? Same 'no-up' for CBZ/TPM?</t>
  </si>
  <si>
    <t>Round down to nearest clean dispersible; confirm CBZ/TPM caution.</t>
  </si>
  <si>
    <t>6</t>
  </si>
  <si>
    <t>+30% vs dose ceilings</t>
  </si>
  <si>
    <t>114 rungs clamp at absolute max; 19 round-ups cross the usual effective max</t>
  </si>
  <si>
    <t>Rounding up can push past the 'usual effective max' or toward the absolute cap.</t>
  </si>
  <si>
    <t>May a round-up ever cross the effective-max? Cap at effective-max?</t>
  </si>
  <si>
    <t>Never round above effective-max; hard-stop at absolute max.</t>
  </si>
  <si>
    <t>7</t>
  </si>
  <si>
    <t>Uneven AM/PM for non-listed drugs</t>
  </si>
  <si>
    <t>levetiracetam 750=500/250, ethosuximide 750, zonisamide 75</t>
  </si>
  <si>
    <t>Even BID split isn't makeable; uneven AM/PM is only sanctioned for clobazam / VPA / carbamazepine / oxcarbazepine.</t>
  </si>
  <si>
    <t>Allow uneven AM/PM for levetiracetam / ethosuximide / zonisamide too, or round to an even-splittable dose?</t>
  </si>
  <si>
    <t>Allow uneven; otherwise round to an even-splittable dose.</t>
  </si>
  <si>
    <t>8</t>
  </si>
  <si>
    <t>VPA liquid conc. + product spread</t>
  </si>
  <si>
    <t>Liquid exists at BOTH 40 and 50 mg/mL; 6 solid strengths across 4 product lines → the grid depends on which product.</t>
  </si>
  <si>
    <t>Default liquid concentration? Preferred single product line for the grid?</t>
  </si>
  <si>
    <t>Default 50 mg/mL; keep one product line per patient.</t>
  </si>
  <si>
    <t>9</t>
  </si>
  <si>
    <t>valproic_acid DR, oxcarbazepine XR, topiramate ER, carbamazepine ER, levetiracetam XR</t>
  </si>
  <si>
    <t>ER/DR must be whole units; a fractional need forces IR or liquid.</t>
  </si>
  <si>
    <t>Confirm the mapping uses whole ER/DR units only and falls back to IR/liquid otherwise.</t>
  </si>
  <si>
    <t>Confirm — whole ER/DR units only.</t>
  </si>
  <si>
    <t>10</t>
  </si>
  <si>
    <t>Heavy child exceeds flat cap</t>
  </si>
  <si>
    <t>levetiracetam 70kg (3500&gt;3000), valproic_acid 70kg, oxcarbazepine high bands</t>
  </si>
  <si>
    <t>mg/kg step computes above the absolute mg cap; the engine already withholds it.</t>
  </si>
  <si>
    <t>Confirm: hold at the absolute cap (do not offer the over-cap step)?</t>
  </si>
  <si>
    <t>Confirm — already clamped in the engine.</t>
  </si>
  <si>
    <t>Aim 2 - mg/day → tablet/liquid conversion: scenario handling (−10% / +30% rule)</t>
  </si>
  <si>
    <t>Flagged cases, tricky scenarios &amp; clarifications</t>
  </si>
  <si>
    <t>Current</t>
  </si>
  <si>
    <t>Step size</t>
  </si>
  <si>
    <t>Number of steps</t>
  </si>
  <si>
    <t>Week 1</t>
  </si>
  <si>
    <t>Week 2</t>
  </si>
  <si>
    <t>10 mg/day</t>
  </si>
  <si>
    <t>5 mg/day</t>
  </si>
  <si>
    <t>10mg/15mg</t>
  </si>
  <si>
    <t>15mg/15mg</t>
  </si>
  <si>
    <t>Try with total dose, and then lets look at increment to make sure it is following</t>
  </si>
  <si>
    <t>Bias up</t>
  </si>
  <si>
    <t xml:space="preserve">Example: Child 30 kg
Levetiracetam 500 mg twice a day (30 mg/kg/day)
2 dose steps up, each 5 mg/kg/day (150mg/day)
</t>
  </si>
  <si>
    <t>If they are on tablets, continue tablets. If they are on liquid, continue liquid. You can try the uneven dosing (1 tablet morning, 2 tablet night) to help with managing the tablet sizes, and you can use 1/2 tablets if needed as a first step (ending on an even dose though). You can also try doing both dose step increases at once, instead of breaking it up into two steps.</t>
  </si>
  <si>
    <t>Use 250 mg tablets
Increase to: 500mg (2 tablets) in morning and 750mg (3 tablets) at night</t>
  </si>
  <si>
    <t>+25% is acceptible</t>
  </si>
  <si>
    <t>Round up</t>
  </si>
  <si>
    <t>It is okay to round up above the effective max. The side effect questionnaire will account for if they are tolerating the dose okay.</t>
  </si>
  <si>
    <t>Allow uneven dosing for all the medications</t>
  </si>
  <si>
    <t>I agree with your default</t>
  </si>
  <si>
    <t>Correct, ER/DR cannot be split in half. If needed, you can switch to IR and having them go back to twice a day dosing.</t>
  </si>
  <si>
    <t>Add the excel rules for what to do when the absolute max dose is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</si>
</sst>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3"/>
      <color rgb="FF000000"/>
      <name val="Arial"/>
      <family val="2"/>
    </font>
    <font>
      <sz val="9"/>
      <color rgb="FF000000"/>
      <name val="Arial"/>
      <family val="2"/>
    </font>
    <font>
      <sz val="9"/>
      <color rgb="FF9C4221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6F0E6"/>
      </patternFill>
    </fill>
    <fill>
      <patternFill patternType="solid">
        <fgColor rgb="FF1F3B57"/>
        <bgColor rgb="FF003366"/>
      </patternFill>
    </fill>
    <fill>
      <patternFill patternType="solid">
        <fgColor rgb="FFE6F0E6"/>
        <bgColor rgb="FFF2F2F2"/>
      </patternFill>
    </fill>
    <fill>
      <patternFill patternType="solid">
        <fgColor rgb="FFFCE9D6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horizontal="center" vertical="top" wrapText="1"/>
    </xf>
    <xf numFmtId="165" fontId="5" fillId="0" borderId="1" xfId="0" applyNumberFormat="1" applyFont="1" applyBorder="1" applyAlignment="1">
      <alignment horizontal="center" vertical="top" wrapText="1"/>
    </xf>
    <xf numFmtId="0" fontId="5" fillId="5" borderId="1" xfId="0" applyFont="1" applyFill="1" applyBorder="1" applyAlignment="1">
      <alignment vertical="top" wrapText="1"/>
    </xf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5" fillId="0" borderId="0" xfId="0" quotePrefix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9D6"/>
      <rgbColor rgb="FFE6F0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4221"/>
      <rgbColor rgb="FF993366"/>
      <rgbColor rgb="FF333399"/>
      <rgbColor rgb="FF1F3B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zoomScaleNormal="100" workbookViewId="0">
      <pane ySplit="4" topLeftCell="A13" activePane="bottomLeft" state="frozen"/>
      <selection pane="bottomLeft" activeCell="D22" sqref="D22"/>
    </sheetView>
  </sheetViews>
  <sheetFormatPr defaultColWidth="8.7109375" defaultRowHeight="15" x14ac:dyDescent="0.25"/>
  <cols>
    <col min="1" max="1" width="4" customWidth="1"/>
    <col min="2" max="2" width="24" customWidth="1"/>
    <col min="3" max="3" width="15" customWidth="1"/>
    <col min="4" max="4" width="25" customWidth="1"/>
    <col min="5" max="5" width="11" customWidth="1"/>
    <col min="6" max="9" width="7" customWidth="1"/>
    <col min="10" max="11" width="11.28515625" customWidth="1"/>
    <col min="12" max="12" width="11" customWidth="1"/>
    <col min="13" max="13" width="10" customWidth="1"/>
    <col min="14" max="14" width="11" customWidth="1"/>
    <col min="15" max="15" width="32" customWidth="1"/>
    <col min="16" max="16" width="40" customWidth="1"/>
    <col min="17" max="17" width="52" customWidth="1"/>
    <col min="18" max="18" width="11" customWidth="1"/>
    <col min="19" max="19" width="10" customWidth="1"/>
  </cols>
  <sheetData>
    <row r="1" spans="1:19" ht="16.5" x14ac:dyDescent="0.25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5" customHeight="1" x14ac:dyDescent="0.25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15" customHeight="1" x14ac:dyDescent="0.25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ht="38.2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203</v>
      </c>
      <c r="H4" s="1" t="s">
        <v>204</v>
      </c>
      <c r="I4" s="1" t="s">
        <v>205</v>
      </c>
      <c r="J4" s="1" t="s">
        <v>206</v>
      </c>
      <c r="K4" s="1" t="s">
        <v>207</v>
      </c>
      <c r="L4" s="1" t="s">
        <v>8</v>
      </c>
      <c r="M4" s="1" t="s">
        <v>9</v>
      </c>
      <c r="N4" s="1" t="s">
        <v>10</v>
      </c>
      <c r="O4" s="1" t="s">
        <v>11</v>
      </c>
      <c r="P4" s="1" t="s">
        <v>12</v>
      </c>
      <c r="Q4" s="1" t="s">
        <v>13</v>
      </c>
      <c r="R4" s="1" t="s">
        <v>14</v>
      </c>
      <c r="S4" s="1" t="s">
        <v>15</v>
      </c>
    </row>
    <row r="5" spans="1:19" ht="38.25" x14ac:dyDescent="0.25">
      <c r="A5" s="2">
        <v>1</v>
      </c>
      <c r="B5" s="3" t="s">
        <v>16</v>
      </c>
      <c r="C5" s="4" t="s">
        <v>17</v>
      </c>
      <c r="D5" s="4" t="s">
        <v>18</v>
      </c>
      <c r="E5" s="2" t="s">
        <v>19</v>
      </c>
      <c r="F5" s="2" t="s">
        <v>20</v>
      </c>
      <c r="G5" s="2" t="s">
        <v>208</v>
      </c>
      <c r="H5" s="2" t="s">
        <v>209</v>
      </c>
      <c r="I5" s="2">
        <v>2</v>
      </c>
      <c r="J5" s="2" t="s">
        <v>210</v>
      </c>
      <c r="K5" s="2" t="s">
        <v>211</v>
      </c>
      <c r="L5" s="5">
        <v>10</v>
      </c>
      <c r="M5" s="5">
        <f t="shared" ref="M5:M40" si="0">ROUND(L5*0.9,1)</f>
        <v>9</v>
      </c>
      <c r="N5" s="5">
        <f t="shared" ref="N5:N40" si="1">ROUND(L5*1.3,1)</f>
        <v>13</v>
      </c>
      <c r="O5" s="4" t="s">
        <v>21</v>
      </c>
      <c r="P5" s="4" t="s">
        <v>22</v>
      </c>
      <c r="Q5" s="4" t="s">
        <v>23</v>
      </c>
      <c r="R5" s="5">
        <v>10</v>
      </c>
      <c r="S5" s="6">
        <f t="shared" ref="S5:S40" si="2">IF(L5=0,"",(R5-L5)/L5)</f>
        <v>0</v>
      </c>
    </row>
    <row r="6" spans="1:19" ht="38.25" x14ac:dyDescent="0.25">
      <c r="A6" s="2">
        <v>2</v>
      </c>
      <c r="B6" s="3" t="s">
        <v>16</v>
      </c>
      <c r="C6" s="4" t="s">
        <v>24</v>
      </c>
      <c r="D6" s="4" t="s">
        <v>25</v>
      </c>
      <c r="E6" s="2" t="s">
        <v>19</v>
      </c>
      <c r="F6" s="2" t="s">
        <v>20</v>
      </c>
      <c r="G6" s="2"/>
      <c r="H6" s="2"/>
      <c r="I6" s="2">
        <v>1</v>
      </c>
      <c r="J6" s="2"/>
      <c r="K6" s="2"/>
      <c r="L6" s="5">
        <v>200</v>
      </c>
      <c r="M6" s="5">
        <f t="shared" si="0"/>
        <v>180</v>
      </c>
      <c r="N6" s="5">
        <f t="shared" si="1"/>
        <v>260</v>
      </c>
      <c r="O6" s="4" t="s">
        <v>26</v>
      </c>
      <c r="P6" s="4" t="s">
        <v>27</v>
      </c>
      <c r="Q6" s="4" t="s">
        <v>23</v>
      </c>
      <c r="R6" s="5">
        <v>200</v>
      </c>
      <c r="S6" s="6">
        <f t="shared" si="2"/>
        <v>0</v>
      </c>
    </row>
    <row r="7" spans="1:19" ht="63.75" x14ac:dyDescent="0.25">
      <c r="A7" s="2">
        <v>3</v>
      </c>
      <c r="B7" s="3" t="s">
        <v>16</v>
      </c>
      <c r="C7" s="4" t="s">
        <v>28</v>
      </c>
      <c r="D7" s="4" t="s">
        <v>29</v>
      </c>
      <c r="E7" s="2" t="s">
        <v>19</v>
      </c>
      <c r="F7" s="2" t="s">
        <v>20</v>
      </c>
      <c r="G7" s="2"/>
      <c r="H7" s="2"/>
      <c r="I7" s="2">
        <v>2</v>
      </c>
      <c r="J7" s="2"/>
      <c r="K7" s="2"/>
      <c r="L7" s="5">
        <v>150</v>
      </c>
      <c r="M7" s="5">
        <f t="shared" si="0"/>
        <v>135</v>
      </c>
      <c r="N7" s="5">
        <f t="shared" si="1"/>
        <v>195</v>
      </c>
      <c r="O7" s="4" t="s">
        <v>30</v>
      </c>
      <c r="P7" s="4" t="s">
        <v>31</v>
      </c>
      <c r="Q7" s="4" t="s">
        <v>23</v>
      </c>
      <c r="R7" s="5">
        <v>150</v>
      </c>
      <c r="S7" s="6">
        <f t="shared" si="2"/>
        <v>0</v>
      </c>
    </row>
    <row r="8" spans="1:19" ht="25.5" x14ac:dyDescent="0.25">
      <c r="A8" s="2">
        <v>4</v>
      </c>
      <c r="B8" s="3" t="s">
        <v>16</v>
      </c>
      <c r="C8" s="4" t="s">
        <v>32</v>
      </c>
      <c r="D8" s="4" t="s">
        <v>33</v>
      </c>
      <c r="E8" s="2">
        <v>35</v>
      </c>
      <c r="F8" s="2" t="s">
        <v>20</v>
      </c>
      <c r="G8" s="2"/>
      <c r="H8" s="2"/>
      <c r="I8" s="2">
        <v>2</v>
      </c>
      <c r="J8" s="2"/>
      <c r="K8" s="2"/>
      <c r="L8" s="5">
        <v>70</v>
      </c>
      <c r="M8" s="5">
        <f t="shared" si="0"/>
        <v>63</v>
      </c>
      <c r="N8" s="5">
        <f t="shared" si="1"/>
        <v>91</v>
      </c>
      <c r="O8" s="4" t="s">
        <v>34</v>
      </c>
      <c r="P8" s="4" t="s">
        <v>35</v>
      </c>
      <c r="Q8" s="4" t="s">
        <v>23</v>
      </c>
      <c r="R8" s="5">
        <v>70</v>
      </c>
      <c r="S8" s="6">
        <f t="shared" si="2"/>
        <v>0</v>
      </c>
    </row>
    <row r="9" spans="1:19" ht="25.5" x14ac:dyDescent="0.25">
      <c r="A9" s="2">
        <v>5</v>
      </c>
      <c r="B9" s="3" t="s">
        <v>16</v>
      </c>
      <c r="C9" s="4" t="s">
        <v>36</v>
      </c>
      <c r="D9" s="4" t="s">
        <v>37</v>
      </c>
      <c r="E9" s="2" t="s">
        <v>19</v>
      </c>
      <c r="F9" s="2" t="s">
        <v>20</v>
      </c>
      <c r="G9" s="2"/>
      <c r="H9" s="2"/>
      <c r="I9" s="2">
        <v>1</v>
      </c>
      <c r="J9" s="2"/>
      <c r="K9" s="2"/>
      <c r="L9" s="5">
        <v>900</v>
      </c>
      <c r="M9" s="5">
        <f t="shared" si="0"/>
        <v>810</v>
      </c>
      <c r="N9" s="5">
        <f t="shared" si="1"/>
        <v>1170</v>
      </c>
      <c r="O9" s="4" t="s">
        <v>38</v>
      </c>
      <c r="P9" s="4" t="s">
        <v>39</v>
      </c>
      <c r="Q9" s="4" t="s">
        <v>23</v>
      </c>
      <c r="R9" s="5">
        <v>900</v>
      </c>
      <c r="S9" s="6">
        <f t="shared" si="2"/>
        <v>0</v>
      </c>
    </row>
    <row r="10" spans="1:19" ht="38.25" x14ac:dyDescent="0.25">
      <c r="A10" s="2">
        <v>6</v>
      </c>
      <c r="B10" s="3" t="s">
        <v>16</v>
      </c>
      <c r="C10" s="4" t="s">
        <v>24</v>
      </c>
      <c r="D10" s="4" t="s">
        <v>40</v>
      </c>
      <c r="E10" s="2" t="s">
        <v>19</v>
      </c>
      <c r="F10" s="2" t="s">
        <v>20</v>
      </c>
      <c r="G10" s="2"/>
      <c r="H10" s="2"/>
      <c r="I10" s="2">
        <v>2</v>
      </c>
      <c r="J10" s="2"/>
      <c r="K10" s="2"/>
      <c r="L10" s="5">
        <v>150</v>
      </c>
      <c r="M10" s="5">
        <f t="shared" si="0"/>
        <v>135</v>
      </c>
      <c r="N10" s="5">
        <f t="shared" si="1"/>
        <v>195</v>
      </c>
      <c r="O10" s="4" t="s">
        <v>26</v>
      </c>
      <c r="P10" s="4" t="s">
        <v>41</v>
      </c>
      <c r="Q10" s="4" t="s">
        <v>23</v>
      </c>
      <c r="R10" s="5">
        <v>150</v>
      </c>
      <c r="S10" s="6">
        <f t="shared" si="2"/>
        <v>0</v>
      </c>
    </row>
    <row r="11" spans="1:19" ht="25.5" x14ac:dyDescent="0.25">
      <c r="A11" s="2">
        <v>7</v>
      </c>
      <c r="B11" s="3" t="s">
        <v>42</v>
      </c>
      <c r="C11" s="4" t="s">
        <v>43</v>
      </c>
      <c r="D11" s="4" t="s">
        <v>44</v>
      </c>
      <c r="E11" s="2">
        <v>22</v>
      </c>
      <c r="F11" s="2" t="s">
        <v>20</v>
      </c>
      <c r="G11" s="2"/>
      <c r="H11" s="2"/>
      <c r="I11" s="2"/>
      <c r="J11" s="2"/>
      <c r="K11" s="2"/>
      <c r="L11" s="5">
        <v>220</v>
      </c>
      <c r="M11" s="5">
        <f t="shared" si="0"/>
        <v>198</v>
      </c>
      <c r="N11" s="5">
        <f t="shared" si="1"/>
        <v>286</v>
      </c>
      <c r="O11" s="4" t="s">
        <v>45</v>
      </c>
      <c r="P11" s="4" t="s">
        <v>46</v>
      </c>
      <c r="Q11" s="4" t="s">
        <v>47</v>
      </c>
      <c r="R11" s="5">
        <v>200</v>
      </c>
      <c r="S11" s="6">
        <f t="shared" si="2"/>
        <v>-9.0909090909090912E-2</v>
      </c>
    </row>
    <row r="12" spans="1:19" ht="25.5" x14ac:dyDescent="0.25">
      <c r="A12" s="2">
        <v>8</v>
      </c>
      <c r="B12" s="3" t="s">
        <v>42</v>
      </c>
      <c r="C12" s="4" t="s">
        <v>48</v>
      </c>
      <c r="D12" s="4" t="s">
        <v>49</v>
      </c>
      <c r="E12" s="2">
        <v>55</v>
      </c>
      <c r="F12" s="2" t="s">
        <v>20</v>
      </c>
      <c r="G12" s="2"/>
      <c r="H12" s="2"/>
      <c r="I12" s="2"/>
      <c r="J12" s="2"/>
      <c r="K12" s="2"/>
      <c r="L12" s="5">
        <v>1100</v>
      </c>
      <c r="M12" s="5">
        <f t="shared" si="0"/>
        <v>990</v>
      </c>
      <c r="N12" s="5">
        <f t="shared" si="1"/>
        <v>1430</v>
      </c>
      <c r="O12" s="4" t="s">
        <v>50</v>
      </c>
      <c r="P12" s="4" t="s">
        <v>51</v>
      </c>
      <c r="Q12" s="4" t="s">
        <v>52</v>
      </c>
      <c r="R12" s="5">
        <v>1000</v>
      </c>
      <c r="S12" s="6">
        <f t="shared" si="2"/>
        <v>-9.0909090909090912E-2</v>
      </c>
    </row>
    <row r="13" spans="1:19" ht="51" x14ac:dyDescent="0.25">
      <c r="A13" s="2">
        <v>9</v>
      </c>
      <c r="B13" s="3" t="s">
        <v>42</v>
      </c>
      <c r="C13" s="4" t="s">
        <v>53</v>
      </c>
      <c r="D13" s="4" t="s">
        <v>49</v>
      </c>
      <c r="E13" s="2">
        <v>35</v>
      </c>
      <c r="F13" s="2" t="s">
        <v>20</v>
      </c>
      <c r="G13" s="2"/>
      <c r="H13" s="2"/>
      <c r="I13" s="2"/>
      <c r="J13" s="2"/>
      <c r="K13" s="2"/>
      <c r="L13" s="5">
        <v>1050</v>
      </c>
      <c r="M13" s="5">
        <f t="shared" si="0"/>
        <v>945</v>
      </c>
      <c r="N13" s="5">
        <f t="shared" si="1"/>
        <v>1365</v>
      </c>
      <c r="O13" s="4" t="s">
        <v>54</v>
      </c>
      <c r="P13" s="4" t="s">
        <v>55</v>
      </c>
      <c r="Q13" s="4" t="s">
        <v>56</v>
      </c>
      <c r="R13" s="5">
        <v>1000</v>
      </c>
      <c r="S13" s="6">
        <f t="shared" si="2"/>
        <v>-4.7619047619047616E-2</v>
      </c>
    </row>
    <row r="14" spans="1:19" ht="25.5" x14ac:dyDescent="0.25">
      <c r="A14" s="2">
        <v>10</v>
      </c>
      <c r="B14" s="3" t="s">
        <v>57</v>
      </c>
      <c r="C14" s="4" t="s">
        <v>32</v>
      </c>
      <c r="D14" s="4" t="s">
        <v>58</v>
      </c>
      <c r="E14" s="2">
        <v>8</v>
      </c>
      <c r="F14" s="2" t="s">
        <v>20</v>
      </c>
      <c r="G14" s="2"/>
      <c r="H14" s="2"/>
      <c r="I14" s="2"/>
      <c r="J14" s="2"/>
      <c r="K14" s="2"/>
      <c r="L14" s="5">
        <v>24</v>
      </c>
      <c r="M14" s="5">
        <f t="shared" si="0"/>
        <v>21.6</v>
      </c>
      <c r="N14" s="5">
        <f t="shared" si="1"/>
        <v>31.2</v>
      </c>
      <c r="O14" s="4" t="s">
        <v>34</v>
      </c>
      <c r="P14" s="4" t="s">
        <v>59</v>
      </c>
      <c r="Q14" s="4" t="s">
        <v>60</v>
      </c>
      <c r="R14" s="5">
        <v>25</v>
      </c>
      <c r="S14" s="6">
        <f t="shared" si="2"/>
        <v>4.1666666666666664E-2</v>
      </c>
    </row>
    <row r="15" spans="1:19" ht="25.5" x14ac:dyDescent="0.25">
      <c r="A15" s="2">
        <v>11</v>
      </c>
      <c r="B15" s="3" t="s">
        <v>57</v>
      </c>
      <c r="C15" s="4" t="s">
        <v>48</v>
      </c>
      <c r="D15" s="4" t="s">
        <v>49</v>
      </c>
      <c r="E15" s="2">
        <v>12</v>
      </c>
      <c r="F15" s="2" t="s">
        <v>20</v>
      </c>
      <c r="G15" s="2"/>
      <c r="H15" s="2"/>
      <c r="I15" s="2"/>
      <c r="J15" s="2"/>
      <c r="K15" s="2"/>
      <c r="L15" s="5">
        <v>240</v>
      </c>
      <c r="M15" s="5">
        <f t="shared" si="0"/>
        <v>216</v>
      </c>
      <c r="N15" s="5">
        <f t="shared" si="1"/>
        <v>312</v>
      </c>
      <c r="O15" s="4" t="s">
        <v>50</v>
      </c>
      <c r="P15" s="4" t="s">
        <v>61</v>
      </c>
      <c r="Q15" s="4" t="s">
        <v>62</v>
      </c>
      <c r="R15" s="5">
        <v>250</v>
      </c>
      <c r="S15" s="6">
        <f t="shared" si="2"/>
        <v>4.1666666666666664E-2</v>
      </c>
    </row>
    <row r="16" spans="1:19" ht="25.5" x14ac:dyDescent="0.25">
      <c r="A16" s="2">
        <v>12</v>
      </c>
      <c r="B16" s="3" t="s">
        <v>57</v>
      </c>
      <c r="C16" s="4" t="s">
        <v>63</v>
      </c>
      <c r="D16" s="4" t="s">
        <v>64</v>
      </c>
      <c r="E16" s="2">
        <v>18</v>
      </c>
      <c r="F16" s="2" t="s">
        <v>20</v>
      </c>
      <c r="G16" s="2"/>
      <c r="H16" s="2"/>
      <c r="I16" s="2"/>
      <c r="J16" s="2"/>
      <c r="K16" s="2"/>
      <c r="L16" s="5">
        <v>90</v>
      </c>
      <c r="M16" s="5">
        <f t="shared" si="0"/>
        <v>81</v>
      </c>
      <c r="N16" s="5">
        <f t="shared" si="1"/>
        <v>117</v>
      </c>
      <c r="O16" s="4" t="s">
        <v>65</v>
      </c>
      <c r="P16" s="4" t="s">
        <v>66</v>
      </c>
      <c r="Q16" s="4" t="s">
        <v>67</v>
      </c>
      <c r="R16" s="5">
        <v>100</v>
      </c>
      <c r="S16" s="6">
        <f t="shared" si="2"/>
        <v>0.1111111111111111</v>
      </c>
    </row>
    <row r="17" spans="1:19" ht="51" x14ac:dyDescent="0.25">
      <c r="A17" s="2">
        <v>13</v>
      </c>
      <c r="B17" s="7" t="s">
        <v>68</v>
      </c>
      <c r="C17" s="4" t="s">
        <v>53</v>
      </c>
      <c r="D17" s="4" t="s">
        <v>49</v>
      </c>
      <c r="E17" s="2">
        <v>20</v>
      </c>
      <c r="F17" s="2" t="s">
        <v>20</v>
      </c>
      <c r="G17" s="2"/>
      <c r="H17" s="2"/>
      <c r="I17" s="2"/>
      <c r="J17" s="2"/>
      <c r="K17" s="2"/>
      <c r="L17" s="5">
        <v>600</v>
      </c>
      <c r="M17" s="5">
        <f t="shared" si="0"/>
        <v>540</v>
      </c>
      <c r="N17" s="5">
        <f t="shared" si="1"/>
        <v>780</v>
      </c>
      <c r="O17" s="4" t="s">
        <v>54</v>
      </c>
      <c r="P17" s="4" t="s">
        <v>69</v>
      </c>
      <c r="Q17" s="4" t="s">
        <v>70</v>
      </c>
      <c r="R17" s="5">
        <v>750</v>
      </c>
      <c r="S17" s="6">
        <f t="shared" si="2"/>
        <v>0.25</v>
      </c>
    </row>
    <row r="18" spans="1:19" ht="25.5" x14ac:dyDescent="0.25">
      <c r="A18" s="2">
        <v>14</v>
      </c>
      <c r="B18" s="7" t="s">
        <v>68</v>
      </c>
      <c r="C18" s="4" t="s">
        <v>43</v>
      </c>
      <c r="D18" s="4" t="s">
        <v>44</v>
      </c>
      <c r="E18" s="2">
        <v>16</v>
      </c>
      <c r="F18" s="2" t="s">
        <v>20</v>
      </c>
      <c r="G18" s="2"/>
      <c r="H18" s="2"/>
      <c r="I18" s="2"/>
      <c r="J18" s="2"/>
      <c r="K18" s="2"/>
      <c r="L18" s="5">
        <v>160</v>
      </c>
      <c r="M18" s="5">
        <f t="shared" si="0"/>
        <v>144</v>
      </c>
      <c r="N18" s="5">
        <f t="shared" si="1"/>
        <v>208</v>
      </c>
      <c r="O18" s="4" t="s">
        <v>45</v>
      </c>
      <c r="P18" s="4" t="s">
        <v>71</v>
      </c>
      <c r="Q18" s="4" t="s">
        <v>72</v>
      </c>
      <c r="R18" s="5">
        <v>200</v>
      </c>
      <c r="S18" s="6">
        <f t="shared" si="2"/>
        <v>0.25</v>
      </c>
    </row>
    <row r="19" spans="1:19" ht="25.5" x14ac:dyDescent="0.25">
      <c r="A19" s="2">
        <v>15</v>
      </c>
      <c r="B19" s="7" t="s">
        <v>68</v>
      </c>
      <c r="C19" s="4" t="s">
        <v>48</v>
      </c>
      <c r="D19" s="4" t="s">
        <v>49</v>
      </c>
      <c r="E19" s="2">
        <v>20</v>
      </c>
      <c r="F19" s="2" t="s">
        <v>20</v>
      </c>
      <c r="G19" s="2"/>
      <c r="H19" s="2"/>
      <c r="I19" s="2"/>
      <c r="J19" s="2"/>
      <c r="K19" s="2"/>
      <c r="L19" s="5">
        <v>400</v>
      </c>
      <c r="M19" s="5">
        <f t="shared" si="0"/>
        <v>360</v>
      </c>
      <c r="N19" s="5">
        <f t="shared" si="1"/>
        <v>520</v>
      </c>
      <c r="O19" s="4" t="s">
        <v>50</v>
      </c>
      <c r="P19" s="4" t="s">
        <v>73</v>
      </c>
      <c r="Q19" s="4" t="s">
        <v>74</v>
      </c>
      <c r="R19" s="5">
        <v>500</v>
      </c>
      <c r="S19" s="6">
        <f t="shared" si="2"/>
        <v>0.25</v>
      </c>
    </row>
    <row r="20" spans="1:19" ht="25.5" x14ac:dyDescent="0.25">
      <c r="A20" s="2">
        <v>16</v>
      </c>
      <c r="B20" s="7" t="s">
        <v>68</v>
      </c>
      <c r="C20" s="4" t="s">
        <v>63</v>
      </c>
      <c r="D20" s="4" t="s">
        <v>75</v>
      </c>
      <c r="E20" s="2">
        <v>12</v>
      </c>
      <c r="F20" s="2" t="s">
        <v>20</v>
      </c>
      <c r="G20" s="2"/>
      <c r="H20" s="2"/>
      <c r="I20" s="2"/>
      <c r="J20" s="2"/>
      <c r="K20" s="2"/>
      <c r="L20" s="5">
        <v>60</v>
      </c>
      <c r="M20" s="5">
        <f t="shared" si="0"/>
        <v>54</v>
      </c>
      <c r="N20" s="5">
        <f t="shared" si="1"/>
        <v>78</v>
      </c>
      <c r="O20" s="4" t="s">
        <v>65</v>
      </c>
      <c r="P20" s="4" t="s">
        <v>76</v>
      </c>
      <c r="Q20" s="4" t="s">
        <v>77</v>
      </c>
      <c r="R20" s="5">
        <v>75</v>
      </c>
      <c r="S20" s="6">
        <f t="shared" si="2"/>
        <v>0.25</v>
      </c>
    </row>
    <row r="21" spans="1:19" ht="25.5" x14ac:dyDescent="0.25">
      <c r="A21" s="2">
        <v>17</v>
      </c>
      <c r="B21" s="7" t="s">
        <v>68</v>
      </c>
      <c r="C21" s="4" t="s">
        <v>78</v>
      </c>
      <c r="D21" s="4" t="s">
        <v>79</v>
      </c>
      <c r="E21" s="2">
        <v>30</v>
      </c>
      <c r="F21" s="2" t="s">
        <v>20</v>
      </c>
      <c r="G21" s="2"/>
      <c r="H21" s="2"/>
      <c r="I21" s="2"/>
      <c r="J21" s="2"/>
      <c r="K21" s="2"/>
      <c r="L21" s="5">
        <v>120</v>
      </c>
      <c r="M21" s="5">
        <f t="shared" si="0"/>
        <v>108</v>
      </c>
      <c r="N21" s="5">
        <f t="shared" si="1"/>
        <v>156</v>
      </c>
      <c r="O21" s="4" t="s">
        <v>80</v>
      </c>
      <c r="P21" s="4" t="s">
        <v>81</v>
      </c>
      <c r="Q21" s="4" t="s">
        <v>82</v>
      </c>
      <c r="R21" s="5">
        <v>150</v>
      </c>
      <c r="S21" s="6">
        <f t="shared" si="2"/>
        <v>0.25</v>
      </c>
    </row>
    <row r="22" spans="1:19" ht="51" x14ac:dyDescent="0.25">
      <c r="A22" s="2">
        <v>18</v>
      </c>
      <c r="B22" s="7" t="s">
        <v>83</v>
      </c>
      <c r="C22" s="4" t="s">
        <v>53</v>
      </c>
      <c r="D22" s="4" t="s">
        <v>49</v>
      </c>
      <c r="E22" s="2">
        <v>12</v>
      </c>
      <c r="F22" s="2" t="s">
        <v>20</v>
      </c>
      <c r="G22" s="2"/>
      <c r="H22" s="2"/>
      <c r="I22" s="2"/>
      <c r="J22" s="2"/>
      <c r="K22" s="2"/>
      <c r="L22" s="5">
        <v>360</v>
      </c>
      <c r="M22" s="5">
        <f t="shared" si="0"/>
        <v>324</v>
      </c>
      <c r="N22" s="5">
        <f t="shared" si="1"/>
        <v>468</v>
      </c>
      <c r="O22" s="4" t="s">
        <v>54</v>
      </c>
      <c r="P22" s="4" t="s">
        <v>84</v>
      </c>
      <c r="Q22" s="4" t="s">
        <v>85</v>
      </c>
      <c r="R22" s="5">
        <v>360</v>
      </c>
      <c r="S22" s="6">
        <f t="shared" si="2"/>
        <v>0</v>
      </c>
    </row>
    <row r="23" spans="1:19" ht="25.5" x14ac:dyDescent="0.25">
      <c r="A23" s="2">
        <v>19</v>
      </c>
      <c r="B23" s="7" t="s">
        <v>83</v>
      </c>
      <c r="C23" s="4" t="s">
        <v>43</v>
      </c>
      <c r="D23" s="4" t="s">
        <v>44</v>
      </c>
      <c r="E23" s="2">
        <v>12</v>
      </c>
      <c r="F23" s="2" t="s">
        <v>20</v>
      </c>
      <c r="G23" s="2"/>
      <c r="H23" s="2"/>
      <c r="I23" s="2"/>
      <c r="J23" s="2"/>
      <c r="K23" s="2"/>
      <c r="L23" s="5">
        <v>120</v>
      </c>
      <c r="M23" s="5">
        <f t="shared" si="0"/>
        <v>108</v>
      </c>
      <c r="N23" s="5">
        <f t="shared" si="1"/>
        <v>156</v>
      </c>
      <c r="O23" s="4" t="s">
        <v>45</v>
      </c>
      <c r="P23" s="4" t="s">
        <v>86</v>
      </c>
      <c r="Q23" s="4" t="s">
        <v>85</v>
      </c>
      <c r="R23" s="5">
        <v>120</v>
      </c>
      <c r="S23" s="6">
        <f t="shared" si="2"/>
        <v>0</v>
      </c>
    </row>
    <row r="24" spans="1:19" ht="25.5" x14ac:dyDescent="0.25">
      <c r="A24" s="2">
        <v>20</v>
      </c>
      <c r="B24" s="7" t="s">
        <v>83</v>
      </c>
      <c r="C24" s="4" t="s">
        <v>36</v>
      </c>
      <c r="D24" s="4" t="s">
        <v>87</v>
      </c>
      <c r="E24" s="2">
        <v>14</v>
      </c>
      <c r="F24" s="2" t="s">
        <v>20</v>
      </c>
      <c r="G24" s="2"/>
      <c r="H24" s="2"/>
      <c r="I24" s="2"/>
      <c r="J24" s="2"/>
      <c r="K24" s="2"/>
      <c r="L24" s="5">
        <v>105</v>
      </c>
      <c r="M24" s="5">
        <f t="shared" si="0"/>
        <v>94.5</v>
      </c>
      <c r="N24" s="5">
        <f t="shared" si="1"/>
        <v>136.5</v>
      </c>
      <c r="O24" s="4" t="s">
        <v>38</v>
      </c>
      <c r="P24" s="4" t="s">
        <v>88</v>
      </c>
      <c r="Q24" s="4" t="s">
        <v>85</v>
      </c>
      <c r="R24" s="5">
        <v>105</v>
      </c>
      <c r="S24" s="6">
        <f t="shared" si="2"/>
        <v>0</v>
      </c>
    </row>
    <row r="25" spans="1:19" ht="25.5" x14ac:dyDescent="0.25">
      <c r="A25" s="2">
        <v>21</v>
      </c>
      <c r="B25" s="7" t="s">
        <v>83</v>
      </c>
      <c r="C25" s="4" t="s">
        <v>78</v>
      </c>
      <c r="D25" s="4" t="s">
        <v>89</v>
      </c>
      <c r="E25" s="2">
        <v>6</v>
      </c>
      <c r="F25" s="2" t="s">
        <v>20</v>
      </c>
      <c r="G25" s="2"/>
      <c r="H25" s="2"/>
      <c r="I25" s="2"/>
      <c r="J25" s="2"/>
      <c r="K25" s="2"/>
      <c r="L25" s="5">
        <v>36</v>
      </c>
      <c r="M25" s="5">
        <f t="shared" si="0"/>
        <v>32.4</v>
      </c>
      <c r="N25" s="5">
        <f t="shared" si="1"/>
        <v>46.8</v>
      </c>
      <c r="O25" s="4" t="s">
        <v>80</v>
      </c>
      <c r="P25" s="4" t="s">
        <v>90</v>
      </c>
      <c r="Q25" s="4" t="s">
        <v>85</v>
      </c>
      <c r="R25" s="5">
        <v>36</v>
      </c>
      <c r="S25" s="6">
        <f t="shared" si="2"/>
        <v>0</v>
      </c>
    </row>
    <row r="26" spans="1:19" ht="25.5" x14ac:dyDescent="0.25">
      <c r="A26" s="2">
        <v>22</v>
      </c>
      <c r="B26" s="7" t="s">
        <v>83</v>
      </c>
      <c r="C26" s="4" t="s">
        <v>32</v>
      </c>
      <c r="D26" s="4" t="s">
        <v>58</v>
      </c>
      <c r="E26" s="2">
        <v>5</v>
      </c>
      <c r="F26" s="2" t="s">
        <v>20</v>
      </c>
      <c r="G26" s="2"/>
      <c r="H26" s="2"/>
      <c r="I26" s="2"/>
      <c r="J26" s="2"/>
      <c r="K26" s="2"/>
      <c r="L26" s="5">
        <v>15</v>
      </c>
      <c r="M26" s="5">
        <f t="shared" si="0"/>
        <v>13.5</v>
      </c>
      <c r="N26" s="5">
        <f t="shared" si="1"/>
        <v>19.5</v>
      </c>
      <c r="O26" s="4" t="s">
        <v>34</v>
      </c>
      <c r="P26" s="4" t="s">
        <v>91</v>
      </c>
      <c r="Q26" s="4" t="s">
        <v>85</v>
      </c>
      <c r="R26" s="5">
        <v>15</v>
      </c>
      <c r="S26" s="6">
        <f t="shared" si="2"/>
        <v>0</v>
      </c>
    </row>
    <row r="27" spans="1:19" ht="63.75" x14ac:dyDescent="0.25">
      <c r="A27" s="2">
        <v>23</v>
      </c>
      <c r="B27" s="3" t="s">
        <v>92</v>
      </c>
      <c r="C27" s="4" t="s">
        <v>28</v>
      </c>
      <c r="D27" s="4" t="s">
        <v>93</v>
      </c>
      <c r="E27" s="2">
        <v>30</v>
      </c>
      <c r="F27" s="2" t="s">
        <v>94</v>
      </c>
      <c r="G27" s="2"/>
      <c r="H27" s="2"/>
      <c r="I27" s="2"/>
      <c r="J27" s="2"/>
      <c r="K27" s="2"/>
      <c r="L27" s="5">
        <v>150</v>
      </c>
      <c r="M27" s="5">
        <f t="shared" si="0"/>
        <v>135</v>
      </c>
      <c r="N27" s="5">
        <f t="shared" si="1"/>
        <v>195</v>
      </c>
      <c r="O27" s="4" t="s">
        <v>30</v>
      </c>
      <c r="P27" s="4" t="s">
        <v>31</v>
      </c>
      <c r="Q27" s="4" t="s">
        <v>95</v>
      </c>
      <c r="R27" s="5">
        <v>150</v>
      </c>
      <c r="S27" s="6">
        <f t="shared" si="2"/>
        <v>0</v>
      </c>
    </row>
    <row r="28" spans="1:19" ht="38.25" x14ac:dyDescent="0.25">
      <c r="A28" s="2">
        <v>24</v>
      </c>
      <c r="B28" s="3" t="s">
        <v>96</v>
      </c>
      <c r="C28" s="4" t="s">
        <v>17</v>
      </c>
      <c r="D28" s="4" t="s">
        <v>97</v>
      </c>
      <c r="E28" s="2" t="s">
        <v>19</v>
      </c>
      <c r="F28" s="2" t="s">
        <v>94</v>
      </c>
      <c r="G28" s="2"/>
      <c r="H28" s="2"/>
      <c r="I28" s="2"/>
      <c r="J28" s="2"/>
      <c r="K28" s="2"/>
      <c r="L28" s="5">
        <v>7.5</v>
      </c>
      <c r="M28" s="5">
        <f t="shared" si="0"/>
        <v>6.8</v>
      </c>
      <c r="N28" s="5">
        <f t="shared" si="1"/>
        <v>9.8000000000000007</v>
      </c>
      <c r="O28" s="4" t="s">
        <v>21</v>
      </c>
      <c r="P28" s="4" t="s">
        <v>98</v>
      </c>
      <c r="Q28" s="4" t="s">
        <v>99</v>
      </c>
      <c r="R28" s="5">
        <v>7.5</v>
      </c>
      <c r="S28" s="6">
        <f t="shared" si="2"/>
        <v>0</v>
      </c>
    </row>
    <row r="29" spans="1:19" ht="25.5" x14ac:dyDescent="0.25">
      <c r="A29" s="2">
        <v>25</v>
      </c>
      <c r="B29" s="3" t="s">
        <v>100</v>
      </c>
      <c r="C29" s="4" t="s">
        <v>36</v>
      </c>
      <c r="D29" s="4" t="s">
        <v>87</v>
      </c>
      <c r="E29" s="2">
        <v>14</v>
      </c>
      <c r="F29" s="2" t="s">
        <v>94</v>
      </c>
      <c r="G29" s="2"/>
      <c r="H29" s="2"/>
      <c r="I29" s="2"/>
      <c r="J29" s="2"/>
      <c r="K29" s="2"/>
      <c r="L29" s="5">
        <v>178.5</v>
      </c>
      <c r="M29" s="5">
        <f t="shared" si="0"/>
        <v>160.69999999999999</v>
      </c>
      <c r="N29" s="5">
        <f t="shared" si="1"/>
        <v>232.1</v>
      </c>
      <c r="O29" s="4" t="s">
        <v>38</v>
      </c>
      <c r="P29" s="4" t="s">
        <v>101</v>
      </c>
      <c r="Q29" s="4" t="s">
        <v>102</v>
      </c>
      <c r="R29" s="5">
        <v>178.5</v>
      </c>
      <c r="S29" s="6">
        <f t="shared" si="2"/>
        <v>0</v>
      </c>
    </row>
    <row r="30" spans="1:19" ht="38.25" x14ac:dyDescent="0.25">
      <c r="A30" s="2">
        <v>26</v>
      </c>
      <c r="B30" s="7" t="s">
        <v>103</v>
      </c>
      <c r="C30" s="4" t="s">
        <v>43</v>
      </c>
      <c r="D30" s="4" t="s">
        <v>104</v>
      </c>
      <c r="E30" s="2" t="s">
        <v>19</v>
      </c>
      <c r="F30" s="2" t="s">
        <v>94</v>
      </c>
      <c r="G30" s="2"/>
      <c r="H30" s="2"/>
      <c r="I30" s="2"/>
      <c r="J30" s="2"/>
      <c r="K30" s="2"/>
      <c r="L30" s="5">
        <v>1800</v>
      </c>
      <c r="M30" s="5">
        <f t="shared" si="0"/>
        <v>1620</v>
      </c>
      <c r="N30" s="5">
        <f t="shared" si="1"/>
        <v>2340</v>
      </c>
      <c r="O30" s="4" t="s">
        <v>45</v>
      </c>
      <c r="P30" s="4" t="s">
        <v>105</v>
      </c>
      <c r="Q30" s="4" t="s">
        <v>106</v>
      </c>
      <c r="R30" s="5">
        <v>1800</v>
      </c>
      <c r="S30" s="6">
        <f t="shared" si="2"/>
        <v>0</v>
      </c>
    </row>
    <row r="31" spans="1:19" ht="63.75" x14ac:dyDescent="0.25">
      <c r="A31" s="2">
        <v>27</v>
      </c>
      <c r="B31" s="7" t="s">
        <v>103</v>
      </c>
      <c r="C31" s="4" t="s">
        <v>107</v>
      </c>
      <c r="D31" s="4" t="s">
        <v>49</v>
      </c>
      <c r="E31" s="2">
        <v>35</v>
      </c>
      <c r="F31" s="2" t="s">
        <v>94</v>
      </c>
      <c r="G31" s="2"/>
      <c r="H31" s="2"/>
      <c r="I31" s="2"/>
      <c r="J31" s="2"/>
      <c r="K31" s="2"/>
      <c r="L31" s="5">
        <v>1750</v>
      </c>
      <c r="M31" s="5">
        <f t="shared" si="0"/>
        <v>1575</v>
      </c>
      <c r="N31" s="5">
        <f t="shared" si="1"/>
        <v>2275</v>
      </c>
      <c r="O31" s="4" t="s">
        <v>108</v>
      </c>
      <c r="P31" s="4" t="s">
        <v>109</v>
      </c>
      <c r="Q31" s="4" t="s">
        <v>110</v>
      </c>
      <c r="R31" s="5">
        <v>1750</v>
      </c>
      <c r="S31" s="6">
        <f t="shared" si="2"/>
        <v>0</v>
      </c>
    </row>
    <row r="32" spans="1:19" ht="25.5" x14ac:dyDescent="0.25">
      <c r="A32" s="2">
        <v>28</v>
      </c>
      <c r="B32" s="7" t="s">
        <v>111</v>
      </c>
      <c r="C32" s="4" t="s">
        <v>36</v>
      </c>
      <c r="D32" s="4" t="s">
        <v>112</v>
      </c>
      <c r="E32" s="2" t="s">
        <v>19</v>
      </c>
      <c r="F32" s="2" t="s">
        <v>94</v>
      </c>
      <c r="G32" s="2"/>
      <c r="H32" s="2"/>
      <c r="I32" s="2"/>
      <c r="J32" s="2"/>
      <c r="K32" s="2"/>
      <c r="L32" s="5">
        <v>2100</v>
      </c>
      <c r="M32" s="5">
        <f t="shared" si="0"/>
        <v>1890</v>
      </c>
      <c r="N32" s="5">
        <f t="shared" si="1"/>
        <v>2730</v>
      </c>
      <c r="O32" s="4" t="s">
        <v>38</v>
      </c>
      <c r="P32" s="4" t="s">
        <v>113</v>
      </c>
      <c r="Q32" s="4" t="s">
        <v>114</v>
      </c>
      <c r="R32" s="5">
        <v>2100</v>
      </c>
      <c r="S32" s="6">
        <f t="shared" si="2"/>
        <v>0</v>
      </c>
    </row>
    <row r="33" spans="1:19" ht="51" x14ac:dyDescent="0.25">
      <c r="A33" s="2">
        <v>29</v>
      </c>
      <c r="B33" s="7" t="s">
        <v>115</v>
      </c>
      <c r="C33" s="4" t="s">
        <v>53</v>
      </c>
      <c r="D33" s="4" t="s">
        <v>49</v>
      </c>
      <c r="E33" s="2">
        <v>70</v>
      </c>
      <c r="F33" s="2" t="s">
        <v>94</v>
      </c>
      <c r="G33" s="2"/>
      <c r="H33" s="2"/>
      <c r="I33" s="2"/>
      <c r="J33" s="2"/>
      <c r="K33" s="2"/>
      <c r="L33" s="5">
        <v>3500</v>
      </c>
      <c r="M33" s="5">
        <f t="shared" si="0"/>
        <v>3150</v>
      </c>
      <c r="N33" s="5">
        <f t="shared" si="1"/>
        <v>4550</v>
      </c>
      <c r="O33" s="4" t="s">
        <v>54</v>
      </c>
      <c r="P33" s="4" t="s">
        <v>116</v>
      </c>
      <c r="Q33" s="4" t="s">
        <v>117</v>
      </c>
      <c r="R33" s="5">
        <v>3000</v>
      </c>
      <c r="S33" s="6">
        <f t="shared" si="2"/>
        <v>-0.14285714285714285</v>
      </c>
    </row>
    <row r="34" spans="1:19" ht="63.75" x14ac:dyDescent="0.25">
      <c r="A34" s="2">
        <v>30</v>
      </c>
      <c r="B34" s="7" t="s">
        <v>118</v>
      </c>
      <c r="C34" s="4" t="s">
        <v>28</v>
      </c>
      <c r="D34" s="4" t="s">
        <v>93</v>
      </c>
      <c r="E34" s="2">
        <v>42</v>
      </c>
      <c r="F34" s="2" t="s">
        <v>20</v>
      </c>
      <c r="G34" s="2"/>
      <c r="H34" s="2"/>
      <c r="I34" s="2"/>
      <c r="J34" s="2"/>
      <c r="K34" s="2"/>
      <c r="L34" s="5">
        <v>189</v>
      </c>
      <c r="M34" s="5">
        <f t="shared" si="0"/>
        <v>170.1</v>
      </c>
      <c r="N34" s="5">
        <f t="shared" si="1"/>
        <v>245.7</v>
      </c>
      <c r="O34" s="4" t="s">
        <v>30</v>
      </c>
      <c r="P34" s="4" t="s">
        <v>119</v>
      </c>
      <c r="Q34" s="4" t="s">
        <v>120</v>
      </c>
      <c r="R34" s="5">
        <v>189</v>
      </c>
      <c r="S34" s="6">
        <f t="shared" si="2"/>
        <v>0</v>
      </c>
    </row>
    <row r="35" spans="1:19" ht="38.25" x14ac:dyDescent="0.25">
      <c r="A35" s="2">
        <v>31</v>
      </c>
      <c r="B35" s="7" t="s">
        <v>121</v>
      </c>
      <c r="C35" s="4" t="s">
        <v>43</v>
      </c>
      <c r="D35" s="4" t="s">
        <v>44</v>
      </c>
      <c r="E35" s="2">
        <v>12</v>
      </c>
      <c r="F35" s="2" t="s">
        <v>94</v>
      </c>
      <c r="G35" s="2"/>
      <c r="H35" s="2"/>
      <c r="I35" s="2"/>
      <c r="J35" s="2"/>
      <c r="K35" s="2"/>
      <c r="L35" s="5">
        <v>180</v>
      </c>
      <c r="M35" s="5">
        <f t="shared" si="0"/>
        <v>162</v>
      </c>
      <c r="N35" s="5">
        <f t="shared" si="1"/>
        <v>234</v>
      </c>
      <c r="O35" s="4" t="s">
        <v>45</v>
      </c>
      <c r="P35" s="4" t="s">
        <v>122</v>
      </c>
      <c r="Q35" s="4" t="s">
        <v>123</v>
      </c>
      <c r="R35" s="5">
        <v>200</v>
      </c>
      <c r="S35" s="6">
        <f t="shared" si="2"/>
        <v>0.1111111111111111</v>
      </c>
    </row>
    <row r="36" spans="1:19" ht="63.75" x14ac:dyDescent="0.25">
      <c r="A36" s="2">
        <v>32</v>
      </c>
      <c r="B36" s="3" t="s">
        <v>124</v>
      </c>
      <c r="C36" s="4" t="s">
        <v>107</v>
      </c>
      <c r="D36" s="4" t="s">
        <v>49</v>
      </c>
      <c r="E36" s="2">
        <v>12</v>
      </c>
      <c r="F36" s="2" t="s">
        <v>20</v>
      </c>
      <c r="G36" s="2"/>
      <c r="H36" s="2"/>
      <c r="I36" s="2"/>
      <c r="J36" s="2"/>
      <c r="K36" s="2"/>
      <c r="L36" s="5">
        <v>360</v>
      </c>
      <c r="M36" s="5">
        <f t="shared" si="0"/>
        <v>324</v>
      </c>
      <c r="N36" s="5">
        <f t="shared" si="1"/>
        <v>468</v>
      </c>
      <c r="O36" s="4" t="s">
        <v>108</v>
      </c>
      <c r="P36" s="4" t="s">
        <v>125</v>
      </c>
      <c r="Q36" s="4" t="s">
        <v>126</v>
      </c>
      <c r="R36" s="5">
        <v>375</v>
      </c>
      <c r="S36" s="6">
        <f t="shared" si="2"/>
        <v>4.1666666666666664E-2</v>
      </c>
    </row>
    <row r="37" spans="1:19" ht="51" x14ac:dyDescent="0.25">
      <c r="A37" s="2">
        <v>33</v>
      </c>
      <c r="B37" s="7" t="s">
        <v>127</v>
      </c>
      <c r="C37" s="4" t="s">
        <v>53</v>
      </c>
      <c r="D37" s="4" t="s">
        <v>49</v>
      </c>
      <c r="E37" s="2">
        <v>20</v>
      </c>
      <c r="F37" s="2" t="s">
        <v>20</v>
      </c>
      <c r="G37" s="2"/>
      <c r="H37" s="2"/>
      <c r="I37" s="2"/>
      <c r="J37" s="2"/>
      <c r="K37" s="2"/>
      <c r="L37" s="5">
        <v>600</v>
      </c>
      <c r="M37" s="5">
        <f t="shared" si="0"/>
        <v>540</v>
      </c>
      <c r="N37" s="5">
        <f t="shared" si="1"/>
        <v>780</v>
      </c>
      <c r="O37" s="4" t="s">
        <v>54</v>
      </c>
      <c r="P37" s="4" t="s">
        <v>128</v>
      </c>
      <c r="Q37" s="4" t="s">
        <v>129</v>
      </c>
      <c r="R37" s="5">
        <v>750</v>
      </c>
      <c r="S37" s="6">
        <f t="shared" si="2"/>
        <v>0.25</v>
      </c>
    </row>
    <row r="38" spans="1:19" ht="63.75" x14ac:dyDescent="0.25">
      <c r="A38" s="2">
        <v>34</v>
      </c>
      <c r="B38" s="3" t="s">
        <v>130</v>
      </c>
      <c r="C38" s="4" t="s">
        <v>107</v>
      </c>
      <c r="D38" s="4" t="s">
        <v>49</v>
      </c>
      <c r="E38" s="2">
        <v>20</v>
      </c>
      <c r="F38" s="2" t="s">
        <v>20</v>
      </c>
      <c r="G38" s="2"/>
      <c r="H38" s="2"/>
      <c r="I38" s="2"/>
      <c r="J38" s="2"/>
      <c r="K38" s="2"/>
      <c r="L38" s="5">
        <v>600</v>
      </c>
      <c r="M38" s="5">
        <f t="shared" si="0"/>
        <v>540</v>
      </c>
      <c r="N38" s="5">
        <f t="shared" si="1"/>
        <v>780</v>
      </c>
      <c r="O38" s="4" t="s">
        <v>108</v>
      </c>
      <c r="P38" s="4" t="s">
        <v>131</v>
      </c>
      <c r="Q38" s="4" t="s">
        <v>132</v>
      </c>
      <c r="R38" s="5">
        <v>600</v>
      </c>
      <c r="S38" s="6">
        <f t="shared" si="2"/>
        <v>0</v>
      </c>
    </row>
    <row r="39" spans="1:19" ht="63.75" x14ac:dyDescent="0.25">
      <c r="A39" s="2">
        <v>35</v>
      </c>
      <c r="B39" s="7" t="s">
        <v>133</v>
      </c>
      <c r="C39" s="4" t="s">
        <v>107</v>
      </c>
      <c r="D39" s="4" t="s">
        <v>49</v>
      </c>
      <c r="E39" s="2">
        <v>12</v>
      </c>
      <c r="F39" s="2" t="s">
        <v>20</v>
      </c>
      <c r="G39" s="2"/>
      <c r="H39" s="2"/>
      <c r="I39" s="2"/>
      <c r="J39" s="2"/>
      <c r="K39" s="2"/>
      <c r="L39" s="5">
        <v>360</v>
      </c>
      <c r="M39" s="5">
        <f t="shared" si="0"/>
        <v>324</v>
      </c>
      <c r="N39" s="5">
        <f t="shared" si="1"/>
        <v>468</v>
      </c>
      <c r="O39" s="4" t="s">
        <v>108</v>
      </c>
      <c r="P39" s="4" t="s">
        <v>134</v>
      </c>
      <c r="Q39" s="4" t="s">
        <v>135</v>
      </c>
      <c r="R39" s="5">
        <v>360</v>
      </c>
      <c r="S39" s="6">
        <f t="shared" si="2"/>
        <v>0</v>
      </c>
    </row>
    <row r="40" spans="1:19" ht="25.5" x14ac:dyDescent="0.25">
      <c r="A40" s="2">
        <v>36</v>
      </c>
      <c r="B40" s="3" t="s">
        <v>16</v>
      </c>
      <c r="C40" s="4" t="s">
        <v>78</v>
      </c>
      <c r="D40" s="4" t="s">
        <v>136</v>
      </c>
      <c r="E40" s="2" t="s">
        <v>19</v>
      </c>
      <c r="F40" s="2" t="s">
        <v>20</v>
      </c>
      <c r="G40" s="2"/>
      <c r="H40" s="2"/>
      <c r="I40" s="2"/>
      <c r="J40" s="2"/>
      <c r="K40" s="2"/>
      <c r="L40" s="5">
        <v>200</v>
      </c>
      <c r="M40" s="5">
        <f t="shared" si="0"/>
        <v>180</v>
      </c>
      <c r="N40" s="5">
        <f t="shared" si="1"/>
        <v>260</v>
      </c>
      <c r="O40" s="4" t="s">
        <v>80</v>
      </c>
      <c r="P40" s="4" t="s">
        <v>27</v>
      </c>
      <c r="Q40" s="4" t="s">
        <v>23</v>
      </c>
      <c r="R40" s="5">
        <v>200</v>
      </c>
      <c r="S40" s="6">
        <f t="shared" si="2"/>
        <v>0</v>
      </c>
    </row>
  </sheetData>
  <mergeCells count="3">
    <mergeCell ref="A1:S1"/>
    <mergeCell ref="A2:S2"/>
    <mergeCell ref="A3:S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tabSelected="1" zoomScaleNormal="100" workbookViewId="0">
      <pane ySplit="3" topLeftCell="A7" activePane="bottomLeft" state="frozen"/>
      <selection pane="bottomLeft" activeCell="G14" sqref="G14"/>
    </sheetView>
  </sheetViews>
  <sheetFormatPr defaultColWidth="8.7109375" defaultRowHeight="15" x14ac:dyDescent="0.25"/>
  <cols>
    <col min="1" max="1" width="4" customWidth="1"/>
    <col min="2" max="2" width="26" customWidth="1"/>
    <col min="3" max="3" width="34" customWidth="1"/>
    <col min="4" max="5" width="44" customWidth="1"/>
    <col min="6" max="6" width="40" customWidth="1"/>
    <col min="9" max="9" width="57.5703125" customWidth="1"/>
    <col min="10" max="11" width="52.85546875" customWidth="1"/>
  </cols>
  <sheetData>
    <row r="1" spans="1:9" ht="16.5" x14ac:dyDescent="0.25">
      <c r="A1" s="8" t="s">
        <v>202</v>
      </c>
      <c r="B1" s="8"/>
      <c r="C1" s="8"/>
      <c r="D1" s="8"/>
      <c r="E1" s="8"/>
      <c r="F1" s="8"/>
    </row>
    <row r="2" spans="1:9" ht="15" customHeight="1" x14ac:dyDescent="0.25">
      <c r="A2" s="10" t="s">
        <v>137</v>
      </c>
      <c r="B2" s="10"/>
      <c r="C2" s="10"/>
      <c r="D2" s="10"/>
      <c r="E2" s="10"/>
      <c r="F2" s="10"/>
    </row>
    <row r="3" spans="1:9" x14ac:dyDescent="0.25">
      <c r="A3" s="1" t="s">
        <v>2</v>
      </c>
      <c r="B3" s="1" t="s">
        <v>138</v>
      </c>
      <c r="C3" s="1" t="s">
        <v>139</v>
      </c>
      <c r="D3" s="1" t="s">
        <v>140</v>
      </c>
      <c r="E3" s="1" t="s">
        <v>141</v>
      </c>
      <c r="F3" s="1" t="s">
        <v>142</v>
      </c>
    </row>
    <row r="4" spans="1:9" ht="57.75" customHeight="1" x14ac:dyDescent="0.25">
      <c r="A4" s="2" t="s">
        <v>143</v>
      </c>
      <c r="B4" s="7" t="s">
        <v>144</v>
      </c>
      <c r="C4" s="4" t="s">
        <v>145</v>
      </c>
      <c r="D4" s="4" t="s">
        <v>146</v>
      </c>
      <c r="E4" s="4" t="s">
        <v>147</v>
      </c>
      <c r="F4" s="4" t="s">
        <v>148</v>
      </c>
      <c r="G4" s="11" t="s">
        <v>212</v>
      </c>
    </row>
    <row r="5" spans="1:9" ht="57.75" customHeight="1" x14ac:dyDescent="0.25">
      <c r="A5" s="2" t="s">
        <v>149</v>
      </c>
      <c r="B5" s="7" t="s">
        <v>150</v>
      </c>
      <c r="C5" s="4" t="s">
        <v>151</v>
      </c>
      <c r="D5" s="4" t="s">
        <v>152</v>
      </c>
      <c r="E5" s="4" t="s">
        <v>153</v>
      </c>
      <c r="F5" s="4" t="s">
        <v>154</v>
      </c>
      <c r="G5" s="11" t="s">
        <v>213</v>
      </c>
    </row>
    <row r="6" spans="1:9" ht="57.75" customHeight="1" x14ac:dyDescent="0.25">
      <c r="A6" s="2" t="s">
        <v>155</v>
      </c>
      <c r="B6" s="7" t="s">
        <v>156</v>
      </c>
      <c r="C6" s="4" t="s">
        <v>157</v>
      </c>
      <c r="D6" s="4" t="s">
        <v>158</v>
      </c>
      <c r="E6" s="4" t="s">
        <v>159</v>
      </c>
      <c r="F6" s="4" t="s">
        <v>160</v>
      </c>
      <c r="G6" s="11" t="s">
        <v>215</v>
      </c>
      <c r="I6" s="12" t="s">
        <v>214</v>
      </c>
    </row>
    <row r="7" spans="1:9" ht="57.75" customHeight="1" x14ac:dyDescent="0.25">
      <c r="A7" s="2" t="s">
        <v>161</v>
      </c>
      <c r="B7" s="7" t="s">
        <v>162</v>
      </c>
      <c r="C7" s="4" t="s">
        <v>163</v>
      </c>
      <c r="D7" s="4" t="s">
        <v>164</v>
      </c>
      <c r="E7" s="4" t="s">
        <v>165</v>
      </c>
      <c r="F7" s="4" t="s">
        <v>166</v>
      </c>
      <c r="G7" s="14" t="s">
        <v>217</v>
      </c>
      <c r="I7" s="13" t="s">
        <v>216</v>
      </c>
    </row>
    <row r="8" spans="1:9" ht="57.75" customHeight="1" x14ac:dyDescent="0.25">
      <c r="A8" s="2" t="s">
        <v>167</v>
      </c>
      <c r="B8" s="7" t="s">
        <v>168</v>
      </c>
      <c r="C8" s="4" t="s">
        <v>169</v>
      </c>
      <c r="D8" s="4" t="s">
        <v>170</v>
      </c>
      <c r="E8" s="4" t="s">
        <v>171</v>
      </c>
      <c r="F8" s="4" t="s">
        <v>172</v>
      </c>
      <c r="G8" s="12" t="s">
        <v>218</v>
      </c>
    </row>
    <row r="9" spans="1:9" ht="57.75" customHeight="1" x14ac:dyDescent="0.25">
      <c r="A9" s="2" t="s">
        <v>173</v>
      </c>
      <c r="B9" s="7" t="s">
        <v>174</v>
      </c>
      <c r="C9" s="4" t="s">
        <v>175</v>
      </c>
      <c r="D9" s="4" t="s">
        <v>176</v>
      </c>
      <c r="E9" s="4" t="s">
        <v>177</v>
      </c>
      <c r="F9" s="4" t="s">
        <v>178</v>
      </c>
      <c r="G9" s="12" t="s">
        <v>219</v>
      </c>
    </row>
    <row r="10" spans="1:9" ht="57.75" customHeight="1" x14ac:dyDescent="0.25">
      <c r="A10" s="2" t="s">
        <v>179</v>
      </c>
      <c r="B10" s="7" t="s">
        <v>180</v>
      </c>
      <c r="C10" s="4" t="s">
        <v>181</v>
      </c>
      <c r="D10" s="4" t="s">
        <v>182</v>
      </c>
      <c r="E10" s="4" t="s">
        <v>183</v>
      </c>
      <c r="F10" s="4" t="s">
        <v>184</v>
      </c>
      <c r="G10" s="12" t="s">
        <v>220</v>
      </c>
    </row>
    <row r="11" spans="1:9" ht="57.75" customHeight="1" x14ac:dyDescent="0.25">
      <c r="A11" s="2" t="s">
        <v>185</v>
      </c>
      <c r="B11" s="7" t="s">
        <v>186</v>
      </c>
      <c r="C11" s="4" t="s">
        <v>107</v>
      </c>
      <c r="D11" s="4" t="s">
        <v>187</v>
      </c>
      <c r="E11" s="4" t="s">
        <v>188</v>
      </c>
      <c r="F11" s="4" t="s">
        <v>189</v>
      </c>
      <c r="G11" s="12" t="s">
        <v>221</v>
      </c>
    </row>
    <row r="12" spans="1:9" ht="57.75" customHeight="1" x14ac:dyDescent="0.25">
      <c r="A12" s="2" t="s">
        <v>190</v>
      </c>
      <c r="B12" s="7" t="s">
        <v>130</v>
      </c>
      <c r="C12" s="4" t="s">
        <v>191</v>
      </c>
      <c r="D12" s="4" t="s">
        <v>192</v>
      </c>
      <c r="E12" s="4" t="s">
        <v>193</v>
      </c>
      <c r="F12" s="4" t="s">
        <v>194</v>
      </c>
      <c r="G12" s="12" t="s">
        <v>222</v>
      </c>
    </row>
    <row r="13" spans="1:9" ht="57.75" customHeight="1" x14ac:dyDescent="0.25">
      <c r="A13" s="2" t="s">
        <v>195</v>
      </c>
      <c r="B13" s="7" t="s">
        <v>196</v>
      </c>
      <c r="C13" s="4" t="s">
        <v>197</v>
      </c>
      <c r="D13" s="4" t="s">
        <v>198</v>
      </c>
      <c r="E13" s="4" t="s">
        <v>199</v>
      </c>
      <c r="F13" s="4" t="s">
        <v>200</v>
      </c>
      <c r="G13" s="12" t="s">
        <v>223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handling</vt:lpstr>
      <vt:lpstr>Flags &amp; clarifications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0</cp:revision>
  <dcterms:created xsi:type="dcterms:W3CDTF">2026-07-28T19:42:14Z</dcterms:created>
  <dcterms:modified xsi:type="dcterms:W3CDTF">2026-07-28T21:21:29Z</dcterms:modified>
  <dc:language>en-US</dc:language>
</cp:coreProperties>
</file>